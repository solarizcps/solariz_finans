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exgen/Desktop/"/>
    </mc:Choice>
  </mc:AlternateContent>
  <xr:revisionPtr revIDLastSave="0" documentId="13_ncr:1_{0BEE75A9-6839-FC40-A0F0-B92B771A66AF}" xr6:coauthVersionLast="47" xr6:coauthVersionMax="47" xr10:uidLastSave="{00000000-0000-0000-0000-000000000000}"/>
  <bookViews>
    <workbookView xWindow="0" yWindow="660" windowWidth="30200" windowHeight="18980" tabRatio="722" activeTab="5" xr2:uid="{00000000-000D-0000-FFFF-FFFF00000000}"/>
  </bookViews>
  <sheets>
    <sheet name="Altan" sheetId="2" r:id="rId1"/>
    <sheet name="Krediler" sheetId="3" r:id="rId2"/>
    <sheet name="Krediler (2)" sheetId="12" r:id="rId3"/>
    <sheet name="Çekler" sheetId="4" r:id="rId4"/>
    <sheet name="Extra" sheetId="6" r:id="rId5"/>
    <sheet name="Ödeme Tablo" sheetId="13" r:id="rId6"/>
    <sheet name="Özet Tablo" sheetId="14" r:id="rId7"/>
    <sheet name="Özet Tablo (2)" sheetId="15" r:id="rId8"/>
    <sheet name="Durum" sheetId="9" r:id="rId9"/>
    <sheet name="Genel gider Aylık" sheetId="5" r:id="rId10"/>
    <sheet name="Not" sheetId="10" r:id="rId11"/>
  </sheets>
  <definedNames>
    <definedName name="_xlnm._FilterDatabase" localSheetId="0" hidden="1">Altan!$A$1:$M$64</definedName>
    <definedName name="_xlnm._FilterDatabase" localSheetId="1" hidden="1">Krediler!$A$20:$H$147</definedName>
    <definedName name="_xlnm._FilterDatabase" localSheetId="2" hidden="1">'Krediler (2)'!$A$20:$P$97</definedName>
    <definedName name="_xlnm._FilterDatabase" localSheetId="5" hidden="1">'Ödeme Tablo'!$A$206:$J$268</definedName>
    <definedName name="_xlnm.Print_Area" localSheetId="5">'Ödeme Tablo'!$A$520:$H$550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8" i="13" l="1"/>
  <c r="G409" i="13"/>
  <c r="G405" i="13"/>
  <c r="F405" i="13"/>
  <c r="D79" i="13"/>
  <c r="F79" i="13"/>
  <c r="E79" i="13"/>
  <c r="J86" i="13"/>
  <c r="G89" i="13"/>
  <c r="G91" i="13"/>
  <c r="G133" i="13"/>
  <c r="E145" i="13"/>
  <c r="E179" i="13" s="1"/>
  <c r="G42" i="4"/>
  <c r="G41" i="4"/>
  <c r="G40" i="4"/>
  <c r="G39" i="4"/>
  <c r="G38" i="4"/>
  <c r="G37" i="4"/>
  <c r="G30" i="4"/>
  <c r="G31" i="4"/>
  <c r="G35" i="4"/>
  <c r="G26" i="4"/>
  <c r="G23" i="4"/>
  <c r="G19" i="4"/>
  <c r="D179" i="13"/>
  <c r="F179" i="13"/>
  <c r="G208" i="13"/>
  <c r="G209" i="13" s="1"/>
  <c r="G210" i="13" s="1"/>
  <c r="G211" i="13" s="1"/>
  <c r="G212" i="13" s="1"/>
  <c r="G213" i="13" s="1"/>
  <c r="G214" i="13" s="1"/>
  <c r="G215" i="13" s="1"/>
  <c r="G216" i="13" s="1"/>
  <c r="G217" i="13" s="1"/>
  <c r="G218" i="13" s="1"/>
  <c r="G219" i="13" s="1"/>
  <c r="G220" i="13" s="1"/>
  <c r="G221" i="13" s="1"/>
  <c r="G222" i="13" s="1"/>
  <c r="G223" i="13" s="1"/>
  <c r="G224" i="13" s="1"/>
  <c r="G225" i="13" s="1"/>
  <c r="G226" i="13" s="1"/>
  <c r="G227" i="13" s="1"/>
  <c r="G228" i="13" s="1"/>
  <c r="G229" i="13" s="1"/>
  <c r="G230" i="13" s="1"/>
  <c r="G231" i="13" s="1"/>
  <c r="G232" i="13" s="1"/>
  <c r="G233" i="13" s="1"/>
  <c r="G234" i="13" s="1"/>
  <c r="G235" i="13" s="1"/>
  <c r="G236" i="13" s="1"/>
  <c r="G237" i="13" s="1"/>
  <c r="G238" i="13" s="1"/>
  <c r="G239" i="13" s="1"/>
  <c r="G240" i="13" s="1"/>
  <c r="G241" i="13" s="1"/>
  <c r="G242" i="13" s="1"/>
  <c r="G243" i="13" s="1"/>
  <c r="G244" i="13" s="1"/>
  <c r="F268" i="13"/>
  <c r="E268" i="13"/>
  <c r="I11" i="9"/>
  <c r="I12" i="9"/>
  <c r="I13" i="9"/>
  <c r="I14" i="9"/>
  <c r="H7" i="9"/>
  <c r="H8" i="9"/>
  <c r="H9" i="9"/>
  <c r="H10" i="9"/>
  <c r="H11" i="9"/>
  <c r="H12" i="9"/>
  <c r="H13" i="9"/>
  <c r="H14" i="9"/>
  <c r="F6" i="9"/>
  <c r="F7" i="9"/>
  <c r="F8" i="9"/>
  <c r="F9" i="9"/>
  <c r="F10" i="9"/>
  <c r="F11" i="9"/>
  <c r="F12" i="9"/>
  <c r="F13" i="9"/>
  <c r="F14" i="9"/>
  <c r="F3" i="9"/>
  <c r="K8" i="4"/>
  <c r="K5" i="4"/>
  <c r="K4" i="4"/>
  <c r="K3" i="4"/>
  <c r="K2" i="4"/>
  <c r="K1" i="4"/>
  <c r="G36" i="4"/>
  <c r="K7" i="4"/>
  <c r="K44" i="4" s="1"/>
  <c r="K9" i="4"/>
  <c r="K10" i="4"/>
  <c r="K11" i="4"/>
  <c r="I10" i="9"/>
  <c r="J5" i="4"/>
  <c r="F44" i="4"/>
  <c r="E44" i="4"/>
  <c r="G34" i="4"/>
  <c r="G29" i="4"/>
  <c r="G25" i="4"/>
  <c r="G22" i="4"/>
  <c r="G21" i="4"/>
  <c r="G17" i="4"/>
  <c r="G33" i="4"/>
  <c r="G32" i="4"/>
  <c r="G28" i="4"/>
  <c r="G27" i="4"/>
  <c r="G24" i="4"/>
  <c r="G20" i="4"/>
  <c r="I6" i="9" s="1"/>
  <c r="G18" i="4"/>
  <c r="I5" i="9" s="1"/>
  <c r="G16" i="4"/>
  <c r="G15" i="4"/>
  <c r="G14" i="4"/>
  <c r="G13" i="4"/>
  <c r="G12" i="4"/>
  <c r="L4" i="4" s="1"/>
  <c r="G11" i="4"/>
  <c r="G10" i="4"/>
  <c r="G9" i="4"/>
  <c r="L3" i="4" s="1"/>
  <c r="G8" i="4"/>
  <c r="G7" i="4"/>
  <c r="G6" i="4"/>
  <c r="G5" i="4"/>
  <c r="J4" i="4"/>
  <c r="G4" i="4"/>
  <c r="J3" i="4"/>
  <c r="G3" i="4"/>
  <c r="J2" i="4"/>
  <c r="G2" i="4"/>
  <c r="J1" i="4"/>
  <c r="J44" i="4" s="1"/>
  <c r="G1" i="4"/>
  <c r="L1" i="4" s="1"/>
  <c r="E405" i="13"/>
  <c r="D405" i="13"/>
  <c r="G273" i="13"/>
  <c r="G274" i="13" s="1"/>
  <c r="G275" i="13" s="1"/>
  <c r="G276" i="13" s="1"/>
  <c r="G277" i="13" s="1"/>
  <c r="G278" i="13" s="1"/>
  <c r="G279" i="13" s="1"/>
  <c r="G280" i="13" s="1"/>
  <c r="G281" i="13" s="1"/>
  <c r="G282" i="13" s="1"/>
  <c r="G283" i="13" s="1"/>
  <c r="G284" i="13" s="1"/>
  <c r="G285" i="13" s="1"/>
  <c r="G286" i="13" s="1"/>
  <c r="G287" i="13" s="1"/>
  <c r="G288" i="13" s="1"/>
  <c r="G289" i="13" s="1"/>
  <c r="G290" i="13" s="1"/>
  <c r="G291" i="13" s="1"/>
  <c r="G292" i="13" s="1"/>
  <c r="G293" i="13" s="1"/>
  <c r="G294" i="13" s="1"/>
  <c r="G295" i="13" s="1"/>
  <c r="G296" i="13" s="1"/>
  <c r="G297" i="13" s="1"/>
  <c r="G298" i="13" s="1"/>
  <c r="G299" i="13" s="1"/>
  <c r="G300" i="13" s="1"/>
  <c r="G301" i="13" s="1"/>
  <c r="G302" i="13" s="1"/>
  <c r="G303" i="13" s="1"/>
  <c r="G304" i="13" s="1"/>
  <c r="G305" i="13" s="1"/>
  <c r="G306" i="13" s="1"/>
  <c r="G307" i="13" s="1"/>
  <c r="G308" i="13" s="1"/>
  <c r="G309" i="13" s="1"/>
  <c r="G310" i="13" s="1"/>
  <c r="G311" i="13" s="1"/>
  <c r="G312" i="13" s="1"/>
  <c r="G313" i="13" s="1"/>
  <c r="G314" i="13" s="1"/>
  <c r="G315" i="13" s="1"/>
  <c r="G316" i="13" s="1"/>
  <c r="G317" i="13" s="1"/>
  <c r="G318" i="13" s="1"/>
  <c r="G319" i="13" s="1"/>
  <c r="G320" i="13" s="1"/>
  <c r="G321" i="13" s="1"/>
  <c r="G322" i="13" s="1"/>
  <c r="G323" i="13" s="1"/>
  <c r="G324" i="13" s="1"/>
  <c r="G325" i="13" s="1"/>
  <c r="G326" i="13" s="1"/>
  <c r="G327" i="13" s="1"/>
  <c r="G328" i="13" s="1"/>
  <c r="G329" i="13" s="1"/>
  <c r="G330" i="13" s="1"/>
  <c r="G331" i="13" s="1"/>
  <c r="G332" i="13" s="1"/>
  <c r="G333" i="13" s="1"/>
  <c r="G334" i="13" s="1"/>
  <c r="G335" i="13" s="1"/>
  <c r="G336" i="13" s="1"/>
  <c r="G337" i="13" s="1"/>
  <c r="G338" i="13" s="1"/>
  <c r="G339" i="13" s="1"/>
  <c r="G340" i="13" s="1"/>
  <c r="G341" i="13" s="1"/>
  <c r="G342" i="13" s="1"/>
  <c r="G343" i="13" s="1"/>
  <c r="G344" i="13" s="1"/>
  <c r="G345" i="13" s="1"/>
  <c r="G346" i="13" s="1"/>
  <c r="G347" i="13" s="1"/>
  <c r="G348" i="13" s="1"/>
  <c r="G349" i="13" s="1"/>
  <c r="G350" i="13" s="1"/>
  <c r="G351" i="13" s="1"/>
  <c r="G352" i="13" s="1"/>
  <c r="G353" i="13" s="1"/>
  <c r="G354" i="13" s="1"/>
  <c r="G355" i="13" s="1"/>
  <c r="G356" i="13" s="1"/>
  <c r="G357" i="13" s="1"/>
  <c r="G358" i="13" s="1"/>
  <c r="G359" i="13" s="1"/>
  <c r="G360" i="13" s="1"/>
  <c r="G361" i="13" s="1"/>
  <c r="G362" i="13" s="1"/>
  <c r="G363" i="13" s="1"/>
  <c r="G364" i="13" s="1"/>
  <c r="G365" i="13" s="1"/>
  <c r="G366" i="13" s="1"/>
  <c r="G367" i="13" s="1"/>
  <c r="G368" i="13" s="1"/>
  <c r="G369" i="13" s="1"/>
  <c r="G370" i="13" s="1"/>
  <c r="G371" i="13" s="1"/>
  <c r="G372" i="13" s="1"/>
  <c r="G373" i="13" s="1"/>
  <c r="G374" i="13" s="1"/>
  <c r="G375" i="13" s="1"/>
  <c r="G376" i="13" s="1"/>
  <c r="G377" i="13" s="1"/>
  <c r="G378" i="13" s="1"/>
  <c r="G379" i="13" s="1"/>
  <c r="G380" i="13" s="1"/>
  <c r="G381" i="13" s="1"/>
  <c r="G382" i="13" s="1"/>
  <c r="G383" i="13" s="1"/>
  <c r="G384" i="13" s="1"/>
  <c r="G385" i="13" s="1"/>
  <c r="G386" i="13" s="1"/>
  <c r="G387" i="13" s="1"/>
  <c r="G388" i="13" s="1"/>
  <c r="G389" i="13" s="1"/>
  <c r="G390" i="13" s="1"/>
  <c r="G391" i="13" s="1"/>
  <c r="G392" i="13" s="1"/>
  <c r="G393" i="13" s="1"/>
  <c r="G394" i="13" s="1"/>
  <c r="G395" i="13" s="1"/>
  <c r="G396" i="13" s="1"/>
  <c r="G397" i="13" s="1"/>
  <c r="G398" i="13" s="1"/>
  <c r="G399" i="13" s="1"/>
  <c r="G400" i="13" s="1"/>
  <c r="G401" i="13" s="1"/>
  <c r="G402" i="13" s="1"/>
  <c r="G403" i="13" s="1"/>
  <c r="G79" i="13" l="1"/>
  <c r="I9" i="9"/>
  <c r="L5" i="4"/>
  <c r="L2" i="4"/>
  <c r="J206" i="13"/>
  <c r="G245" i="13"/>
  <c r="G246" i="13" s="1"/>
  <c r="G247" i="13" s="1"/>
  <c r="G248" i="13" s="1"/>
  <c r="G249" i="13" s="1"/>
  <c r="G250" i="13" s="1"/>
  <c r="G251" i="13" s="1"/>
  <c r="G252" i="13" s="1"/>
  <c r="G253" i="13" s="1"/>
  <c r="G254" i="13" s="1"/>
  <c r="G255" i="13" s="1"/>
  <c r="G256" i="13" s="1"/>
  <c r="G257" i="13" s="1"/>
  <c r="G258" i="13" s="1"/>
  <c r="G259" i="13" s="1"/>
  <c r="G260" i="13" s="1"/>
  <c r="G261" i="13" s="1"/>
  <c r="G262" i="13" s="1"/>
  <c r="G263" i="13" s="1"/>
  <c r="G264" i="13" s="1"/>
  <c r="G265" i="13" s="1"/>
  <c r="G266" i="13" s="1"/>
  <c r="D268" i="13"/>
  <c r="G268" i="13" s="1"/>
  <c r="G44" i="4"/>
  <c r="J271" i="13"/>
  <c r="D14" i="15"/>
  <c r="B14" i="15"/>
  <c r="D13" i="15"/>
  <c r="B13" i="15"/>
  <c r="D12" i="15"/>
  <c r="B12" i="15"/>
  <c r="D11" i="15"/>
  <c r="B11" i="15"/>
  <c r="D10" i="15"/>
  <c r="B10" i="15"/>
  <c r="D9" i="15"/>
  <c r="B9" i="15"/>
  <c r="D8" i="15"/>
  <c r="B8" i="15"/>
  <c r="D7" i="15"/>
  <c r="B7" i="15"/>
  <c r="D6" i="15"/>
  <c r="B6" i="15"/>
  <c r="D5" i="15"/>
  <c r="B5" i="15"/>
  <c r="D4" i="15"/>
  <c r="B4" i="15"/>
  <c r="D3" i="15"/>
  <c r="B3" i="15"/>
  <c r="H2" i="15"/>
  <c r="G2" i="15"/>
  <c r="F2" i="15"/>
  <c r="E2" i="15"/>
  <c r="D2" i="15"/>
  <c r="C2" i="15"/>
  <c r="B2" i="15"/>
  <c r="N4" i="14"/>
  <c r="N6" i="14"/>
  <c r="M8" i="14"/>
  <c r="L8" i="14"/>
  <c r="K8" i="14"/>
  <c r="J8" i="14"/>
  <c r="I8" i="14"/>
  <c r="H8" i="14"/>
  <c r="G8" i="14"/>
  <c r="F8" i="14"/>
  <c r="E8" i="14"/>
  <c r="D8" i="14"/>
  <c r="C8" i="14"/>
  <c r="M7" i="14"/>
  <c r="G5" i="14"/>
  <c r="M5" i="14"/>
  <c r="L5" i="14"/>
  <c r="K5" i="14"/>
  <c r="J5" i="14"/>
  <c r="I5" i="14"/>
  <c r="H5" i="14"/>
  <c r="B5" i="14"/>
  <c r="I7" i="9" l="1"/>
  <c r="I8" i="9"/>
  <c r="I4" i="9"/>
  <c r="I3" i="9"/>
  <c r="L44" i="4"/>
  <c r="M9" i="14"/>
  <c r="C9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G96" i="12"/>
  <c r="F96" i="12"/>
  <c r="F9" i="12" s="1"/>
  <c r="H95" i="12"/>
  <c r="H94" i="12"/>
  <c r="H93" i="12"/>
  <c r="H92" i="12"/>
  <c r="H91" i="12"/>
  <c r="H90" i="12"/>
  <c r="H89" i="12"/>
  <c r="H88" i="12"/>
  <c r="H87" i="12"/>
  <c r="H86" i="12"/>
  <c r="H85" i="12"/>
  <c r="H84" i="12"/>
  <c r="G445" i="13"/>
  <c r="G444" i="13"/>
  <c r="G443" i="13"/>
  <c r="G442" i="13"/>
  <c r="G434" i="13"/>
  <c r="G431" i="13"/>
  <c r="G430" i="13"/>
  <c r="G429" i="13"/>
  <c r="G428" i="13"/>
  <c r="G427" i="13"/>
  <c r="G426" i="13"/>
  <c r="G432" i="13"/>
  <c r="G425" i="13"/>
  <c r="G424" i="13"/>
  <c r="G423" i="13"/>
  <c r="G419" i="13"/>
  <c r="G418" i="13"/>
  <c r="G417" i="13"/>
  <c r="G422" i="13"/>
  <c r="G421" i="13"/>
  <c r="G415" i="13"/>
  <c r="G413" i="13"/>
  <c r="G420" i="13"/>
  <c r="G437" i="13"/>
  <c r="G441" i="13"/>
  <c r="G440" i="13"/>
  <c r="G439" i="13"/>
  <c r="G438" i="13"/>
  <c r="G436" i="13"/>
  <c r="G435" i="13"/>
  <c r="G433" i="13"/>
  <c r="G416" i="13"/>
  <c r="G414" i="13"/>
  <c r="G412" i="13"/>
  <c r="G411" i="13"/>
  <c r="G410" i="13"/>
  <c r="F447" i="13"/>
  <c r="E447" i="13"/>
  <c r="E487" i="13" s="1"/>
  <c r="E518" i="13" s="1"/>
  <c r="D447" i="13"/>
  <c r="G449" i="13"/>
  <c r="G450" i="13" s="1"/>
  <c r="G451" i="13" s="1"/>
  <c r="G489" i="13"/>
  <c r="G490" i="13" s="1"/>
  <c r="J50" i="2"/>
  <c r="J51" i="2"/>
  <c r="J52" i="2"/>
  <c r="J53" i="2"/>
  <c r="J54" i="2"/>
  <c r="J55" i="2"/>
  <c r="J56" i="2"/>
  <c r="J57" i="2"/>
  <c r="F58" i="2"/>
  <c r="G58" i="2"/>
  <c r="H58" i="2"/>
  <c r="L58" i="2"/>
  <c r="J49" i="2"/>
  <c r="J48" i="2"/>
  <c r="J47" i="2"/>
  <c r="F591" i="13"/>
  <c r="E591" i="13"/>
  <c r="D591" i="13"/>
  <c r="G556" i="13"/>
  <c r="G557" i="13" s="1"/>
  <c r="G558" i="13" s="1"/>
  <c r="G559" i="13" s="1"/>
  <c r="G560" i="13" s="1"/>
  <c r="G561" i="13" s="1"/>
  <c r="G562" i="13" s="1"/>
  <c r="G563" i="13" s="1"/>
  <c r="G564" i="13" s="1"/>
  <c r="G565" i="13" s="1"/>
  <c r="G566" i="13" s="1"/>
  <c r="G567" i="13" s="1"/>
  <c r="G568" i="13" s="1"/>
  <c r="G569" i="13" s="1"/>
  <c r="G570" i="13" s="1"/>
  <c r="G571" i="13" s="1"/>
  <c r="G572" i="13" s="1"/>
  <c r="G573" i="13" s="1"/>
  <c r="G574" i="13" s="1"/>
  <c r="G575" i="13" s="1"/>
  <c r="G576" i="13" s="1"/>
  <c r="G577" i="13" s="1"/>
  <c r="G578" i="13" s="1"/>
  <c r="G579" i="13" s="1"/>
  <c r="G580" i="13" s="1"/>
  <c r="G581" i="13" s="1"/>
  <c r="G582" i="13" s="1"/>
  <c r="G583" i="13" s="1"/>
  <c r="G584" i="13" s="1"/>
  <c r="G585" i="13" s="1"/>
  <c r="G586" i="13" s="1"/>
  <c r="G587" i="13" s="1"/>
  <c r="G588" i="13" s="1"/>
  <c r="G589" i="13" s="1"/>
  <c r="H96" i="12" l="1"/>
  <c r="G9" i="12"/>
  <c r="F487" i="13"/>
  <c r="F518" i="13"/>
  <c r="G447" i="13"/>
  <c r="D487" i="13"/>
  <c r="G591" i="13"/>
  <c r="J6" i="2"/>
  <c r="J7" i="2"/>
  <c r="J8" i="2"/>
  <c r="J9" i="2"/>
  <c r="J10" i="2"/>
  <c r="J11" i="2"/>
  <c r="N11" i="2" s="1"/>
  <c r="J12" i="2"/>
  <c r="N12" i="2" s="1"/>
  <c r="J13" i="2"/>
  <c r="N13" i="2" s="1"/>
  <c r="J14" i="2"/>
  <c r="N14" i="2" s="1"/>
  <c r="J15" i="2"/>
  <c r="N15" i="2" s="1"/>
  <c r="J16" i="2"/>
  <c r="N16" i="2" s="1"/>
  <c r="J17" i="2"/>
  <c r="N17" i="2" s="1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N38" i="2" s="1"/>
  <c r="J39" i="2"/>
  <c r="J40" i="2"/>
  <c r="J41" i="2"/>
  <c r="J42" i="2"/>
  <c r="J43" i="2"/>
  <c r="J44" i="2"/>
  <c r="J45" i="2"/>
  <c r="J46" i="2"/>
  <c r="J2" i="2"/>
  <c r="J3" i="2"/>
  <c r="N3" i="2" s="1"/>
  <c r="O3" i="2" s="1"/>
  <c r="F550" i="13"/>
  <c r="D550" i="13"/>
  <c r="J4" i="2"/>
  <c r="J5" i="2"/>
  <c r="O36" i="2"/>
  <c r="K11" i="6"/>
  <c r="L11" i="6"/>
  <c r="K12" i="6"/>
  <c r="L12" i="6"/>
  <c r="K13" i="6"/>
  <c r="L13" i="6"/>
  <c r="K14" i="6"/>
  <c r="L14" i="6"/>
  <c r="K15" i="6"/>
  <c r="L15" i="6"/>
  <c r="K16" i="6"/>
  <c r="L16" i="6"/>
  <c r="M16" i="6"/>
  <c r="C9" i="15" s="1"/>
  <c r="L10" i="6"/>
  <c r="L9" i="6"/>
  <c r="K10" i="6"/>
  <c r="Q17" i="6"/>
  <c r="M15" i="6"/>
  <c r="C8" i="15" s="1"/>
  <c r="F8" i="15"/>
  <c r="F9" i="15"/>
  <c r="F10" i="15"/>
  <c r="E14" i="15"/>
  <c r="F11" i="15"/>
  <c r="F12" i="15"/>
  <c r="F13" i="15"/>
  <c r="F14" i="15"/>
  <c r="C10" i="15"/>
  <c r="C11" i="15"/>
  <c r="C12" i="15"/>
  <c r="C13" i="15"/>
  <c r="C14" i="15"/>
  <c r="C16" i="9"/>
  <c r="L8" i="6"/>
  <c r="F6" i="15"/>
  <c r="F7" i="15"/>
  <c r="M15" i="3"/>
  <c r="M17" i="3"/>
  <c r="M16" i="3"/>
  <c r="G146" i="3"/>
  <c r="G15" i="3" s="1"/>
  <c r="F146" i="3"/>
  <c r="F15" i="3" s="1"/>
  <c r="M12" i="3"/>
  <c r="L12" i="3"/>
  <c r="M11" i="3"/>
  <c r="L11" i="3"/>
  <c r="M10" i="3"/>
  <c r="L10" i="3"/>
  <c r="M8" i="3"/>
  <c r="L8" i="3"/>
  <c r="M7" i="3"/>
  <c r="L7" i="3"/>
  <c r="M6" i="3"/>
  <c r="L6" i="3"/>
  <c r="M5" i="3"/>
  <c r="L5" i="3"/>
  <c r="M4" i="3"/>
  <c r="L4" i="3"/>
  <c r="M3" i="3"/>
  <c r="L3" i="3"/>
  <c r="L17" i="3"/>
  <c r="L16" i="3"/>
  <c r="L15" i="3"/>
  <c r="M14" i="3"/>
  <c r="L14" i="3"/>
  <c r="M13" i="3"/>
  <c r="L13" i="3"/>
  <c r="M9" i="3"/>
  <c r="L9" i="3"/>
  <c r="M4" i="12"/>
  <c r="L4" i="12"/>
  <c r="M3" i="12"/>
  <c r="L3" i="12"/>
  <c r="C8" i="12"/>
  <c r="C7" i="12"/>
  <c r="C6" i="12"/>
  <c r="C5" i="12"/>
  <c r="C4" i="12"/>
  <c r="C3" i="12"/>
  <c r="G83" i="12"/>
  <c r="G8" i="12" s="1"/>
  <c r="F83" i="12"/>
  <c r="F8" i="12" s="1"/>
  <c r="H82" i="12"/>
  <c r="H81" i="12"/>
  <c r="H80" i="12"/>
  <c r="H79" i="12"/>
  <c r="H78" i="12"/>
  <c r="H77" i="12"/>
  <c r="H76" i="12"/>
  <c r="H75" i="12"/>
  <c r="H74" i="12"/>
  <c r="G73" i="12"/>
  <c r="F73" i="12"/>
  <c r="F7" i="12" s="1"/>
  <c r="H72" i="12"/>
  <c r="H71" i="12"/>
  <c r="H70" i="12"/>
  <c r="H69" i="12"/>
  <c r="H68" i="12"/>
  <c r="H67" i="12"/>
  <c r="H66" i="12"/>
  <c r="H65" i="12"/>
  <c r="H64" i="12"/>
  <c r="N6" i="12" s="1"/>
  <c r="H63" i="12"/>
  <c r="N5" i="12" s="1"/>
  <c r="H62" i="12"/>
  <c r="N4" i="12" s="1"/>
  <c r="H61" i="12"/>
  <c r="N3" i="12" s="1"/>
  <c r="G60" i="12"/>
  <c r="G6" i="12" s="1"/>
  <c r="F60" i="12"/>
  <c r="F6" i="12" s="1"/>
  <c r="H59" i="12"/>
  <c r="H58" i="12"/>
  <c r="H57" i="12"/>
  <c r="H56" i="12"/>
  <c r="H55" i="12"/>
  <c r="H54" i="12"/>
  <c r="H53" i="12"/>
  <c r="H52" i="12"/>
  <c r="H51" i="12"/>
  <c r="G50" i="12"/>
  <c r="G5" i="12" s="1"/>
  <c r="F50" i="12"/>
  <c r="F5" i="12" s="1"/>
  <c r="H49" i="12"/>
  <c r="H48" i="12"/>
  <c r="H47" i="12"/>
  <c r="H46" i="12"/>
  <c r="H45" i="12"/>
  <c r="H44" i="12"/>
  <c r="H43" i="12"/>
  <c r="H42" i="12"/>
  <c r="H41" i="12"/>
  <c r="H38" i="12"/>
  <c r="H39" i="12"/>
  <c r="F40" i="12"/>
  <c r="F4" i="12" s="1"/>
  <c r="G40" i="12"/>
  <c r="G4" i="12" s="1"/>
  <c r="H37" i="12"/>
  <c r="H36" i="12"/>
  <c r="H35" i="12"/>
  <c r="H34" i="12"/>
  <c r="H33" i="12"/>
  <c r="H32" i="12"/>
  <c r="H31" i="12"/>
  <c r="G30" i="12"/>
  <c r="G3" i="12" s="1"/>
  <c r="F30" i="12"/>
  <c r="H29" i="12"/>
  <c r="N16" i="12" s="1"/>
  <c r="L7" i="14" s="1"/>
  <c r="L9" i="14" s="1"/>
  <c r="H28" i="12"/>
  <c r="H27" i="12"/>
  <c r="H26" i="12"/>
  <c r="H25" i="12"/>
  <c r="H24" i="12"/>
  <c r="H23" i="12"/>
  <c r="H22" i="12"/>
  <c r="H21" i="12"/>
  <c r="J61" i="2"/>
  <c r="J62" i="2"/>
  <c r="N62" i="2" s="1"/>
  <c r="J63" i="2"/>
  <c r="J64" i="2"/>
  <c r="J65" i="2"/>
  <c r="N65" i="2" s="1"/>
  <c r="J66" i="2"/>
  <c r="N66" i="2" s="1"/>
  <c r="I65" i="2"/>
  <c r="R11" i="10"/>
  <c r="R13" i="10" s="1"/>
  <c r="I61" i="2"/>
  <c r="I62" i="2"/>
  <c r="I63" i="2"/>
  <c r="I64" i="2"/>
  <c r="I66" i="2"/>
  <c r="I60" i="2"/>
  <c r="G68" i="2"/>
  <c r="F68" i="2"/>
  <c r="F14" i="6"/>
  <c r="G14" i="6" s="1"/>
  <c r="F13" i="6"/>
  <c r="G13" i="6" s="1"/>
  <c r="F12" i="6"/>
  <c r="H20" i="6"/>
  <c r="H19" i="6"/>
  <c r="M13" i="6" s="1"/>
  <c r="H18" i="6"/>
  <c r="H17" i="6"/>
  <c r="M11" i="6" s="1"/>
  <c r="F4" i="9" s="1"/>
  <c r="H16" i="6"/>
  <c r="M10" i="6" s="1"/>
  <c r="F11" i="6"/>
  <c r="F10" i="6"/>
  <c r="F9" i="6"/>
  <c r="F6" i="6"/>
  <c r="H6" i="6" s="1"/>
  <c r="M9" i="6" s="1"/>
  <c r="F5" i="6"/>
  <c r="H5" i="6" s="1"/>
  <c r="M8" i="6" s="1"/>
  <c r="F4" i="6"/>
  <c r="H4" i="6" s="1"/>
  <c r="F3" i="6"/>
  <c r="H3" i="6" s="1"/>
  <c r="G64" i="5"/>
  <c r="F64" i="5"/>
  <c r="E64" i="5"/>
  <c r="D64" i="5"/>
  <c r="I62" i="5"/>
  <c r="I61" i="5"/>
  <c r="I60" i="5"/>
  <c r="I59" i="5"/>
  <c r="I58" i="5"/>
  <c r="I57" i="5"/>
  <c r="I56" i="5"/>
  <c r="I55" i="5"/>
  <c r="I53" i="5"/>
  <c r="I51" i="5"/>
  <c r="I50" i="5"/>
  <c r="I48" i="5"/>
  <c r="I47" i="5"/>
  <c r="I46" i="5"/>
  <c r="I45" i="5"/>
  <c r="I41" i="5"/>
  <c r="I40" i="5"/>
  <c r="I39" i="5"/>
  <c r="I37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2" i="5"/>
  <c r="I11" i="5"/>
  <c r="I10" i="5"/>
  <c r="I9" i="5"/>
  <c r="I8" i="5"/>
  <c r="I7" i="5"/>
  <c r="I6" i="5"/>
  <c r="I5" i="5"/>
  <c r="I4" i="5"/>
  <c r="I3" i="5"/>
  <c r="I2" i="5"/>
  <c r="H145" i="3"/>
  <c r="N17" i="3" s="1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G119" i="3"/>
  <c r="G14" i="3" s="1"/>
  <c r="F119" i="3"/>
  <c r="F14" i="3" s="1"/>
  <c r="H118" i="3"/>
  <c r="H117" i="3"/>
  <c r="H116" i="3"/>
  <c r="H115" i="3"/>
  <c r="G114" i="3"/>
  <c r="G13" i="3" s="1"/>
  <c r="F114" i="3"/>
  <c r="F13" i="3" s="1"/>
  <c r="H113" i="3"/>
  <c r="H112" i="3"/>
  <c r="H111" i="3"/>
  <c r="H110" i="3"/>
  <c r="H109" i="3"/>
  <c r="H108" i="3"/>
  <c r="H107" i="3"/>
  <c r="G106" i="3"/>
  <c r="G12" i="3" s="1"/>
  <c r="F106" i="3"/>
  <c r="F12" i="3" s="1"/>
  <c r="H105" i="3"/>
  <c r="H104" i="3"/>
  <c r="H103" i="3"/>
  <c r="H102" i="3"/>
  <c r="H101" i="3"/>
  <c r="H100" i="3"/>
  <c r="H99" i="3"/>
  <c r="H98" i="3"/>
  <c r="G97" i="3"/>
  <c r="G11" i="3" s="1"/>
  <c r="F97" i="3"/>
  <c r="F11" i="3" s="1"/>
  <c r="H96" i="3"/>
  <c r="H95" i="3"/>
  <c r="H94" i="3"/>
  <c r="H93" i="3"/>
  <c r="H92" i="3"/>
  <c r="H91" i="3"/>
  <c r="H90" i="3"/>
  <c r="G89" i="3"/>
  <c r="G10" i="3" s="1"/>
  <c r="F89" i="3"/>
  <c r="F10" i="3" s="1"/>
  <c r="H88" i="3"/>
  <c r="H87" i="3"/>
  <c r="H86" i="3"/>
  <c r="H85" i="3"/>
  <c r="H84" i="3"/>
  <c r="H83" i="3"/>
  <c r="H82" i="3"/>
  <c r="H81" i="3"/>
  <c r="H80" i="3"/>
  <c r="G79" i="3"/>
  <c r="G9" i="3" s="1"/>
  <c r="F79" i="3"/>
  <c r="F9" i="3" s="1"/>
  <c r="H78" i="3"/>
  <c r="H77" i="3"/>
  <c r="H76" i="3"/>
  <c r="H75" i="3"/>
  <c r="H74" i="3"/>
  <c r="H73" i="3"/>
  <c r="H72" i="3"/>
  <c r="H71" i="3"/>
  <c r="H70" i="3"/>
  <c r="G69" i="3"/>
  <c r="G8" i="3" s="1"/>
  <c r="F69" i="3"/>
  <c r="F8" i="3" s="1"/>
  <c r="H68" i="3"/>
  <c r="H67" i="3"/>
  <c r="H66" i="3"/>
  <c r="H65" i="3"/>
  <c r="H64" i="3"/>
  <c r="H63" i="3"/>
  <c r="H62" i="3"/>
  <c r="H61" i="3"/>
  <c r="H60" i="3"/>
  <c r="G59" i="3"/>
  <c r="G7" i="3" s="1"/>
  <c r="F59" i="3"/>
  <c r="F7" i="3" s="1"/>
  <c r="H58" i="3"/>
  <c r="H57" i="3"/>
  <c r="H56" i="3"/>
  <c r="H55" i="3"/>
  <c r="H54" i="3"/>
  <c r="H53" i="3"/>
  <c r="H52" i="3"/>
  <c r="H51" i="3"/>
  <c r="H50" i="3"/>
  <c r="G49" i="3"/>
  <c r="G6" i="3" s="1"/>
  <c r="F49" i="3"/>
  <c r="F6" i="3" s="1"/>
  <c r="H48" i="3"/>
  <c r="H47" i="3"/>
  <c r="H46" i="3"/>
  <c r="H45" i="3"/>
  <c r="H44" i="3"/>
  <c r="H43" i="3"/>
  <c r="G42" i="3"/>
  <c r="G5" i="3" s="1"/>
  <c r="F42" i="3"/>
  <c r="F5" i="3" s="1"/>
  <c r="H40" i="3"/>
  <c r="H39" i="3"/>
  <c r="H38" i="3"/>
  <c r="H37" i="3"/>
  <c r="H36" i="3"/>
  <c r="H35" i="3"/>
  <c r="H34" i="3"/>
  <c r="G33" i="3"/>
  <c r="G4" i="3" s="1"/>
  <c r="F33" i="3"/>
  <c r="F4" i="3" s="1"/>
  <c r="H32" i="3"/>
  <c r="H31" i="3"/>
  <c r="G30" i="3"/>
  <c r="G3" i="3" s="1"/>
  <c r="F30" i="3"/>
  <c r="F3" i="3" s="1"/>
  <c r="H29" i="3"/>
  <c r="H28" i="3"/>
  <c r="H27" i="3"/>
  <c r="H26" i="3"/>
  <c r="H25" i="3"/>
  <c r="H24" i="3"/>
  <c r="H23" i="3"/>
  <c r="H22" i="3"/>
  <c r="H21" i="3"/>
  <c r="J60" i="2"/>
  <c r="N60" i="2" s="1"/>
  <c r="N8" i="12" l="1"/>
  <c r="N12" i="12"/>
  <c r="N9" i="12"/>
  <c r="H6" i="9" s="1"/>
  <c r="F3" i="12"/>
  <c r="F17" i="12" s="1"/>
  <c r="F97" i="12"/>
  <c r="N10" i="12"/>
  <c r="N14" i="12"/>
  <c r="G97" i="12"/>
  <c r="N13" i="12"/>
  <c r="N7" i="12"/>
  <c r="H4" i="9" s="1"/>
  <c r="N11" i="12"/>
  <c r="N15" i="12"/>
  <c r="H9" i="12"/>
  <c r="G487" i="13"/>
  <c r="D518" i="13"/>
  <c r="G518" i="13" s="1"/>
  <c r="F5" i="15"/>
  <c r="J58" i="2"/>
  <c r="K9" i="6"/>
  <c r="M19" i="12"/>
  <c r="E550" i="13"/>
  <c r="G521" i="13"/>
  <c r="M12" i="6"/>
  <c r="F5" i="9" s="1"/>
  <c r="L19" i="12"/>
  <c r="M14" i="6"/>
  <c r="O67" i="2"/>
  <c r="N68" i="2"/>
  <c r="O68" i="2" s="1"/>
  <c r="C3" i="15"/>
  <c r="K5" i="6"/>
  <c r="H13" i="6"/>
  <c r="H14" i="6"/>
  <c r="K6" i="6"/>
  <c r="G9" i="6"/>
  <c r="H9" i="6" s="1"/>
  <c r="G10" i="6"/>
  <c r="L6" i="6" s="1"/>
  <c r="K7" i="6"/>
  <c r="N16" i="3"/>
  <c r="G11" i="6"/>
  <c r="L7" i="6" s="1"/>
  <c r="G12" i="6"/>
  <c r="L4" i="6" s="1"/>
  <c r="K4" i="6"/>
  <c r="D16" i="9"/>
  <c r="N15" i="3"/>
  <c r="F17" i="3"/>
  <c r="H146" i="3"/>
  <c r="H15" i="3" s="1"/>
  <c r="N12" i="3"/>
  <c r="F26" i="6"/>
  <c r="K8" i="6"/>
  <c r="F4" i="15"/>
  <c r="N11" i="3"/>
  <c r="N10" i="3"/>
  <c r="N8" i="3"/>
  <c r="L29" i="3"/>
  <c r="N7" i="3"/>
  <c r="M29" i="3"/>
  <c r="N6" i="3"/>
  <c r="N4" i="3"/>
  <c r="N3" i="3"/>
  <c r="N5" i="3"/>
  <c r="N14" i="3"/>
  <c r="N13" i="3"/>
  <c r="N9" i="3"/>
  <c r="H59" i="3"/>
  <c r="H7" i="3" s="1"/>
  <c r="H97" i="3"/>
  <c r="H11" i="3" s="1"/>
  <c r="H30" i="3"/>
  <c r="H3" i="3" s="1"/>
  <c r="H42" i="3"/>
  <c r="H5" i="3" s="1"/>
  <c r="H49" i="3"/>
  <c r="H6" i="3" s="1"/>
  <c r="H79" i="3"/>
  <c r="H9" i="3" s="1"/>
  <c r="H89" i="3"/>
  <c r="H10" i="3" s="1"/>
  <c r="H106" i="3"/>
  <c r="H12" i="3" s="1"/>
  <c r="H114" i="3"/>
  <c r="H13" i="3" s="1"/>
  <c r="H119" i="3"/>
  <c r="H14" i="3" s="1"/>
  <c r="H33" i="3"/>
  <c r="H4" i="3" s="1"/>
  <c r="H69" i="3"/>
  <c r="H8" i="3" s="1"/>
  <c r="G7" i="12"/>
  <c r="G17" i="12" s="1"/>
  <c r="H73" i="12"/>
  <c r="H7" i="12" s="1"/>
  <c r="H83" i="12"/>
  <c r="H8" i="12" s="1"/>
  <c r="H60" i="12"/>
  <c r="H6" i="12" s="1"/>
  <c r="H50" i="12"/>
  <c r="H5" i="12" s="1"/>
  <c r="H40" i="12"/>
  <c r="H4" i="12" s="1"/>
  <c r="H30" i="12"/>
  <c r="H3" i="12" s="1"/>
  <c r="J68" i="2"/>
  <c r="I68" i="2"/>
  <c r="G147" i="3"/>
  <c r="I67" i="5"/>
  <c r="I64" i="5"/>
  <c r="L68" i="2"/>
  <c r="G17" i="3"/>
  <c r="F147" i="3"/>
  <c r="D7" i="14" l="1"/>
  <c r="H5" i="9"/>
  <c r="C7" i="14"/>
  <c r="H7" i="14"/>
  <c r="H9" i="14" s="1"/>
  <c r="E7" i="14"/>
  <c r="E7" i="15"/>
  <c r="F7" i="14"/>
  <c r="J7" i="14"/>
  <c r="J9" i="14" s="1"/>
  <c r="I7" i="14"/>
  <c r="I9" i="14" s="1"/>
  <c r="G7" i="14"/>
  <c r="G9" i="14" s="1"/>
  <c r="K7" i="14"/>
  <c r="K9" i="14" s="1"/>
  <c r="C6" i="15"/>
  <c r="E5" i="14"/>
  <c r="C4" i="15"/>
  <c r="C5" i="14"/>
  <c r="C5" i="15"/>
  <c r="D5" i="14"/>
  <c r="F5" i="14"/>
  <c r="F9" i="14" s="1"/>
  <c r="C7" i="15"/>
  <c r="J13" i="9"/>
  <c r="E13" i="15"/>
  <c r="H3" i="9"/>
  <c r="E3" i="15" s="1"/>
  <c r="B7" i="14"/>
  <c r="B8" i="14"/>
  <c r="F3" i="15"/>
  <c r="H97" i="12"/>
  <c r="J7" i="9"/>
  <c r="G550" i="13"/>
  <c r="F552" i="13"/>
  <c r="G522" i="13"/>
  <c r="G523" i="13" s="1"/>
  <c r="G524" i="13" s="1"/>
  <c r="G525" i="13" s="1"/>
  <c r="G526" i="13" s="1"/>
  <c r="G527" i="13" s="1"/>
  <c r="G528" i="13" s="1"/>
  <c r="G529" i="13" s="1"/>
  <c r="G530" i="13" s="1"/>
  <c r="G531" i="13" s="1"/>
  <c r="G532" i="13" s="1"/>
  <c r="G533" i="13" s="1"/>
  <c r="G534" i="13" s="1"/>
  <c r="G535" i="13" s="1"/>
  <c r="G536" i="13" s="1"/>
  <c r="G537" i="13" s="1"/>
  <c r="G538" i="13" s="1"/>
  <c r="G539" i="13" s="1"/>
  <c r="G540" i="13" s="1"/>
  <c r="G541" i="13" s="1"/>
  <c r="G542" i="13" s="1"/>
  <c r="G543" i="13" s="1"/>
  <c r="G544" i="13" s="1"/>
  <c r="G545" i="13" s="1"/>
  <c r="G546" i="13" s="1"/>
  <c r="G547" i="13" s="1"/>
  <c r="G548" i="13" s="1"/>
  <c r="N19" i="12"/>
  <c r="K68" i="2"/>
  <c r="L71" i="2" s="1"/>
  <c r="H11" i="6"/>
  <c r="M7" i="6" s="1"/>
  <c r="H12" i="6"/>
  <c r="M4" i="6" s="1"/>
  <c r="M5" i="6"/>
  <c r="L5" i="6"/>
  <c r="L24" i="6" s="1"/>
  <c r="G26" i="6"/>
  <c r="H10" i="6"/>
  <c r="M6" i="6" s="1"/>
  <c r="K24" i="6"/>
  <c r="J14" i="9"/>
  <c r="N29" i="3"/>
  <c r="H17" i="3"/>
  <c r="H147" i="3"/>
  <c r="H17" i="12"/>
  <c r="L70" i="2"/>
  <c r="I66" i="5"/>
  <c r="I69" i="5" s="1"/>
  <c r="E9" i="14" l="1"/>
  <c r="D9" i="14"/>
  <c r="E5" i="15"/>
  <c r="J5" i="9"/>
  <c r="C9" i="14"/>
  <c r="N7" i="14"/>
  <c r="L13" i="9"/>
  <c r="H13" i="15" s="1"/>
  <c r="G13" i="15"/>
  <c r="E9" i="15"/>
  <c r="J9" i="9"/>
  <c r="E11" i="15"/>
  <c r="J11" i="9"/>
  <c r="E10" i="15"/>
  <c r="J10" i="9"/>
  <c r="E8" i="15"/>
  <c r="J8" i="9"/>
  <c r="E12" i="15"/>
  <c r="J12" i="9"/>
  <c r="N5" i="14"/>
  <c r="E6" i="15"/>
  <c r="J6" i="9"/>
  <c r="H16" i="9"/>
  <c r="L7" i="9"/>
  <c r="H7" i="15" s="1"/>
  <c r="G7" i="15"/>
  <c r="L14" i="9"/>
  <c r="H14" i="15" s="1"/>
  <c r="G14" i="15"/>
  <c r="J4" i="9"/>
  <c r="E4" i="15"/>
  <c r="N8" i="14"/>
  <c r="B9" i="14"/>
  <c r="N9" i="14" s="1"/>
  <c r="J3" i="9"/>
  <c r="I16" i="9"/>
  <c r="L73" i="2"/>
  <c r="H26" i="6"/>
  <c r="M24" i="6"/>
  <c r="L5" i="9" l="1"/>
  <c r="H5" i="15" s="1"/>
  <c r="G5" i="15"/>
  <c r="L3" i="9"/>
  <c r="H3" i="15" s="1"/>
  <c r="G3" i="15"/>
  <c r="L10" i="9"/>
  <c r="H10" i="15" s="1"/>
  <c r="G10" i="15"/>
  <c r="L12" i="9"/>
  <c r="H12" i="15" s="1"/>
  <c r="G12" i="15"/>
  <c r="G6" i="15"/>
  <c r="L6" i="9"/>
  <c r="H6" i="15" s="1"/>
  <c r="G9" i="15"/>
  <c r="L9" i="9"/>
  <c r="H9" i="15" s="1"/>
  <c r="G11" i="15"/>
  <c r="L11" i="9"/>
  <c r="H11" i="15" s="1"/>
  <c r="G8" i="15"/>
  <c r="L8" i="9"/>
  <c r="H8" i="15" s="1"/>
  <c r="G4" i="15"/>
  <c r="L4" i="9"/>
  <c r="H4" i="15" s="1"/>
  <c r="J16" i="9"/>
  <c r="G491" i="13" l="1"/>
  <c r="G492" i="13" s="1"/>
  <c r="G493" i="13" s="1"/>
  <c r="G494" i="13" s="1"/>
  <c r="G495" i="13" s="1"/>
  <c r="G496" i="13" s="1"/>
  <c r="G497" i="13" s="1"/>
  <c r="G498" i="13" s="1"/>
  <c r="G499" i="13" s="1"/>
  <c r="G500" i="13" s="1"/>
  <c r="G501" i="13" s="1"/>
  <c r="G502" i="13" s="1"/>
  <c r="G503" i="13" s="1"/>
  <c r="G504" i="13" s="1"/>
  <c r="G505" i="13" s="1"/>
  <c r="G506" i="13" s="1"/>
  <c r="G507" i="13" s="1"/>
  <c r="G508" i="13" s="1"/>
  <c r="G509" i="13" s="1"/>
  <c r="G510" i="13" s="1"/>
  <c r="G511" i="13" s="1"/>
  <c r="G512" i="13" s="1"/>
  <c r="G513" i="13" s="1"/>
  <c r="G514" i="13" s="1"/>
  <c r="G515" i="13" s="1"/>
  <c r="G516" i="13" s="1"/>
  <c r="G452" i="13"/>
  <c r="G453" i="13" s="1"/>
  <c r="G454" i="13" s="1"/>
  <c r="G455" i="13" s="1"/>
  <c r="G456" i="13" s="1"/>
  <c r="G457" i="13" s="1"/>
  <c r="G458" i="13" s="1"/>
  <c r="G459" i="13" s="1"/>
  <c r="G460" i="13" s="1"/>
  <c r="G461" i="13" s="1"/>
  <c r="G462" i="13" s="1"/>
  <c r="G463" i="13" s="1"/>
  <c r="G464" i="13" s="1"/>
  <c r="G465" i="13" s="1"/>
  <c r="G466" i="13" s="1"/>
  <c r="G467" i="13" s="1"/>
  <c r="G468" i="13" s="1"/>
  <c r="G469" i="13" s="1"/>
  <c r="G470" i="13" s="1"/>
  <c r="G471" i="13" s="1"/>
  <c r="G472" i="13" s="1"/>
  <c r="G473" i="13" s="1"/>
  <c r="G474" i="13" s="1"/>
  <c r="G475" i="13" s="1"/>
  <c r="G476" i="13" s="1"/>
  <c r="G477" i="13" s="1"/>
  <c r="G478" i="13" s="1"/>
  <c r="G479" i="13" s="1"/>
  <c r="G480" i="13" s="1"/>
  <c r="G481" i="13" s="1"/>
  <c r="G482" i="13" s="1"/>
  <c r="G483" i="13" s="1"/>
  <c r="G484" i="13" s="1"/>
  <c r="G485" i="13" s="1"/>
  <c r="G179" i="13"/>
  <c r="G10" i="13" l="1"/>
  <c r="G11" i="13"/>
  <c r="G12" i="13"/>
  <c r="G13" i="13"/>
  <c r="G14" i="13"/>
  <c r="G66" i="13"/>
  <c r="G57" i="13"/>
  <c r="G58" i="13"/>
  <c r="G23" i="13"/>
  <c r="G68" i="13"/>
  <c r="G61" i="13"/>
  <c r="G7" i="13"/>
  <c r="G65" i="13"/>
  <c r="G15" i="13"/>
  <c r="G37" i="13"/>
  <c r="G38" i="13"/>
  <c r="G39" i="13"/>
  <c r="G40" i="13"/>
  <c r="G41" i="13"/>
  <c r="G8" i="13"/>
  <c r="G67" i="13"/>
  <c r="G9" i="13"/>
  <c r="G64" i="13"/>
  <c r="G42" i="13"/>
  <c r="G43" i="13"/>
  <c r="G44" i="13"/>
  <c r="G45" i="13"/>
  <c r="G46" i="13"/>
  <c r="G16" i="13"/>
  <c r="G17" i="13"/>
  <c r="G18" i="13"/>
  <c r="G69" i="13"/>
  <c r="G63" i="13"/>
  <c r="G70" i="13"/>
  <c r="G5" i="13"/>
  <c r="G19" i="13"/>
  <c r="G20" i="13"/>
  <c r="G36" i="13"/>
  <c r="G24" i="13"/>
  <c r="G25" i="13"/>
  <c r="G26" i="13"/>
  <c r="G27" i="13"/>
  <c r="G28" i="13"/>
  <c r="G29" i="13"/>
  <c r="G30" i="13"/>
  <c r="G31" i="13"/>
  <c r="G32" i="13"/>
  <c r="G33" i="13"/>
  <c r="G62" i="13"/>
  <c r="G6" i="13"/>
  <c r="G71" i="13"/>
  <c r="G72" i="13"/>
  <c r="G73" i="13"/>
  <c r="G4" i="13"/>
  <c r="G21" i="13"/>
  <c r="G59" i="13"/>
  <c r="G22" i="13"/>
  <c r="G52" i="13"/>
  <c r="J3" i="13"/>
  <c r="G74" i="13"/>
  <c r="G60" i="13"/>
</calcChain>
</file>

<file path=xl/sharedStrings.xml><?xml version="1.0" encoding="utf-8"?>
<sst xmlns="http://schemas.openxmlformats.org/spreadsheetml/2006/main" count="2738" uniqueCount="974">
  <si>
    <t>Altan</t>
  </si>
  <si>
    <t>Tip</t>
  </si>
  <si>
    <t>İSİM</t>
  </si>
  <si>
    <t>TUTAR</t>
  </si>
  <si>
    <t>ÖDENEN</t>
  </si>
  <si>
    <t xml:space="preserve">Ödenen Temmuz </t>
  </si>
  <si>
    <t>KALAN</t>
  </si>
  <si>
    <t>Faiz</t>
  </si>
  <si>
    <t>Temmuz</t>
  </si>
  <si>
    <t>Ağustos</t>
  </si>
  <si>
    <t>Eylül</t>
  </si>
  <si>
    <t>Ekim</t>
  </si>
  <si>
    <t>Kasım</t>
  </si>
  <si>
    <t>Şahsi</t>
  </si>
  <si>
    <t>Kart</t>
  </si>
  <si>
    <t>Firma</t>
  </si>
  <si>
    <t>Borç TL KARŞILIĞI</t>
  </si>
  <si>
    <t>Kalan Ödeme usd</t>
  </si>
  <si>
    <t>Hüseyin abi elden alınan borç</t>
  </si>
  <si>
    <t>Bekir Tecer</t>
  </si>
  <si>
    <t>İbrahim Kılıç</t>
  </si>
  <si>
    <t>Yusuf İkikat</t>
  </si>
  <si>
    <t>Kur</t>
  </si>
  <si>
    <t>Toplam</t>
  </si>
  <si>
    <t>Tarih</t>
  </si>
  <si>
    <t>Kredi Adı</t>
  </si>
  <si>
    <t>Kalan Taksit</t>
  </si>
  <si>
    <t>Not</t>
  </si>
  <si>
    <t>Tutar</t>
  </si>
  <si>
    <t>Ödenen</t>
  </si>
  <si>
    <t>Vade</t>
  </si>
  <si>
    <t>Şahin Taban</t>
  </si>
  <si>
    <t>Araç Alım</t>
  </si>
  <si>
    <t>Ford Transit</t>
  </si>
  <si>
    <t>Haziran</t>
  </si>
  <si>
    <t>Esem Işık Alımı</t>
  </si>
  <si>
    <t>Finas-iga Kredi</t>
  </si>
  <si>
    <t>Nex-gen</t>
  </si>
  <si>
    <t>Nexgen Hmd</t>
  </si>
  <si>
    <t>Lc-W ışık Alımı</t>
  </si>
  <si>
    <t>2.Parça</t>
  </si>
  <si>
    <t>Unicorn Patch</t>
  </si>
  <si>
    <t>Aralık</t>
  </si>
  <si>
    <t>Runix Işık</t>
  </si>
  <si>
    <t>Ocak</t>
  </si>
  <si>
    <t>UGG 45000 Usd Kredi</t>
  </si>
  <si>
    <t>Şubat</t>
  </si>
  <si>
    <t>UGG Kuveyt Şahin tb 100.000$ kullanımın kredisi</t>
  </si>
  <si>
    <t>Mart</t>
  </si>
  <si>
    <t>UGG Kuveyt Şahin tb kredisi</t>
  </si>
  <si>
    <t>ugg sayası için çekilen kredi</t>
  </si>
  <si>
    <t>Şahsi Krediler</t>
  </si>
  <si>
    <t>Kubilay - Esra -Ümit Serkan</t>
  </si>
  <si>
    <t>Taksit</t>
  </si>
  <si>
    <t>Açıklama</t>
  </si>
  <si>
    <t>Banka</t>
  </si>
  <si>
    <t>Kredi Taksidi</t>
  </si>
  <si>
    <t>Ödeme</t>
  </si>
  <si>
    <t>Kalan</t>
  </si>
  <si>
    <t>1.Taksit</t>
  </si>
  <si>
    <t>Yeni Ticari Araç</t>
  </si>
  <si>
    <t>Kuveytturk</t>
  </si>
  <si>
    <t>2.Taksit</t>
  </si>
  <si>
    <t>3.Taksit</t>
  </si>
  <si>
    <t>4.Taksit</t>
  </si>
  <si>
    <t>5.Taksit</t>
  </si>
  <si>
    <t>6.Taksit</t>
  </si>
  <si>
    <t>7.Taksit</t>
  </si>
  <si>
    <t>8.Taksit</t>
  </si>
  <si>
    <t>9.Taksit</t>
  </si>
  <si>
    <t xml:space="preserve">Işık </t>
  </si>
  <si>
    <t>İga Kredi</t>
  </si>
  <si>
    <t>Finansbank</t>
  </si>
  <si>
    <t>10.Taksit</t>
  </si>
  <si>
    <t>11.Taksit</t>
  </si>
  <si>
    <t>12.Taksit</t>
  </si>
  <si>
    <t>Nexgen</t>
  </si>
  <si>
    <t>Ticari Kredi</t>
  </si>
  <si>
    <t>Unicorn Patch + Haribo Patch</t>
  </si>
  <si>
    <t>Kuveyt Şahin tb kredi</t>
  </si>
  <si>
    <t>Esra</t>
  </si>
  <si>
    <t>Esra Denizbank Kredi</t>
  </si>
  <si>
    <t>Fiba Kredi 1</t>
  </si>
  <si>
    <t>Fiba Kredi 2</t>
  </si>
  <si>
    <t>Finansbank Kredi</t>
  </si>
  <si>
    <t>Kubilay</t>
  </si>
  <si>
    <t>Kubilay kart 380 yapılandırma kredisi</t>
  </si>
  <si>
    <t>Serkan Akyüz</t>
  </si>
  <si>
    <t>Serkan Akyüz kredi</t>
  </si>
  <si>
    <t>Ümit</t>
  </si>
  <si>
    <t>Ümit Kredi</t>
  </si>
  <si>
    <t>G.Toplam</t>
  </si>
  <si>
    <t>Vade Tarihi</t>
  </si>
  <si>
    <t>Verilen Cari</t>
  </si>
  <si>
    <t>Çek No</t>
  </si>
  <si>
    <t>Nisan</t>
  </si>
  <si>
    <t>Mayıs</t>
  </si>
  <si>
    <t>Kod</t>
  </si>
  <si>
    <t>Kod Tanımı</t>
  </si>
  <si>
    <t>Miktar</t>
  </si>
  <si>
    <t>KDVTutar</t>
  </si>
  <si>
    <t>TevTutar</t>
  </si>
  <si>
    <t>StopajTutar</t>
  </si>
  <si>
    <t>ToplamTutar</t>
  </si>
  <si>
    <t>B01.001</t>
  </si>
  <si>
    <t>Elektrik Gideri (Tedaş)</t>
  </si>
  <si>
    <t>TL</t>
  </si>
  <si>
    <t>B01.005</t>
  </si>
  <si>
    <t>Telefon Gideri (Gsm Öperatörleri)</t>
  </si>
  <si>
    <t>B01.006</t>
  </si>
  <si>
    <t>İnternet Gideri (Adsl)</t>
  </si>
  <si>
    <t>B03.006</t>
  </si>
  <si>
    <t>B03.007</t>
  </si>
  <si>
    <t>AyFiz.Pos Yaz.</t>
  </si>
  <si>
    <t>D01.001</t>
  </si>
  <si>
    <t>SMM Danışmanlık</t>
  </si>
  <si>
    <t>D01.002</t>
  </si>
  <si>
    <t>Avukat Gideri</t>
  </si>
  <si>
    <t>D01.005</t>
  </si>
  <si>
    <t>İşletme Doktoru</t>
  </si>
  <si>
    <t>D01.006</t>
  </si>
  <si>
    <t>İş Güvenliği Danışmanı</t>
  </si>
  <si>
    <t>D01.008</t>
  </si>
  <si>
    <t>Mühendislik ve Teknik Danışmanlık Giderleri</t>
  </si>
  <si>
    <t>D01.009</t>
  </si>
  <si>
    <t>Diğer Danışmanlık Giderleri</t>
  </si>
  <si>
    <t>F01.001</t>
  </si>
  <si>
    <t>Banka İlkem Komisyon ve Masrafları</t>
  </si>
  <si>
    <t>F01.011</t>
  </si>
  <si>
    <t>Sigorta Taksit Prim Ödemesi</t>
  </si>
  <si>
    <t>F01.012</t>
  </si>
  <si>
    <t>Kuveyt Pos Gider</t>
  </si>
  <si>
    <t>F01.013</t>
  </si>
  <si>
    <t>Garanti Pos Gider</t>
  </si>
  <si>
    <t>G02.005</t>
  </si>
  <si>
    <t>Demirbaş Bakım Onarım Gideri</t>
  </si>
  <si>
    <t>G02.007</t>
  </si>
  <si>
    <t>Küçük Demirbaş Bakım Onarım Gideri</t>
  </si>
  <si>
    <t>G02.008</t>
  </si>
  <si>
    <t>Bilgisayar Donanım Giderleri</t>
  </si>
  <si>
    <t>G02.009</t>
  </si>
  <si>
    <t>Bilgisayar Yazılım Giderleri</t>
  </si>
  <si>
    <t>G02.012</t>
  </si>
  <si>
    <t>Tesis ve Cihaz Periyodik Bakımları</t>
  </si>
  <si>
    <t>G03.001</t>
  </si>
  <si>
    <t>Yemek Gideri</t>
  </si>
  <si>
    <t>Çek</t>
  </si>
  <si>
    <t>G03.003</t>
  </si>
  <si>
    <t>Kargo Nakliye Gideri</t>
  </si>
  <si>
    <t>G03.005</t>
  </si>
  <si>
    <t>Kırtasiye Gideri</t>
  </si>
  <si>
    <t>G03.011</t>
  </si>
  <si>
    <t>Ulaşım ve Seyaha Gideri</t>
  </si>
  <si>
    <t>G03.013</t>
  </si>
  <si>
    <t>Diğer Çeşitli Giderler</t>
  </si>
  <si>
    <t>G05.001</t>
  </si>
  <si>
    <t>Merkez Kira Gideri</t>
  </si>
  <si>
    <t>G05.003</t>
  </si>
  <si>
    <t>Mağaza Beyazıt Kira Gideri</t>
  </si>
  <si>
    <t>G05.004</t>
  </si>
  <si>
    <t>II.Fabrika Kira Gideri</t>
  </si>
  <si>
    <t>P01.001</t>
  </si>
  <si>
    <t>Personel Maaş Ödemeleri</t>
  </si>
  <si>
    <t>Ocak Zammı Dahil değil</t>
  </si>
  <si>
    <t>P01.002</t>
  </si>
  <si>
    <t>Personel Avans Ödemeleri</t>
  </si>
  <si>
    <t>P01.004</t>
  </si>
  <si>
    <t>Personel Yol ve Ulaşım Gideri</t>
  </si>
  <si>
    <t>P01.005</t>
  </si>
  <si>
    <t>Personel Yemek Gideri</t>
  </si>
  <si>
    <t>P01.010</t>
  </si>
  <si>
    <t>Personel İhtarname - Haciz V.b..</t>
  </si>
  <si>
    <t>R01.001</t>
  </si>
  <si>
    <t>Muhtasar Vergisi Ödemeleri</t>
  </si>
  <si>
    <t>R02.001</t>
  </si>
  <si>
    <t>Ödenecek KDV 1</t>
  </si>
  <si>
    <t>R02.005</t>
  </si>
  <si>
    <t>Geçici Vergi</t>
  </si>
  <si>
    <t>R03.001</t>
  </si>
  <si>
    <t>SGK Ödemeleri</t>
  </si>
  <si>
    <t>S02.006</t>
  </si>
  <si>
    <t>Lazer İşçilik Gideri</t>
  </si>
  <si>
    <t>S02.015</t>
  </si>
  <si>
    <t>Saya İşçilik Gideri</t>
  </si>
  <si>
    <t>T01.002</t>
  </si>
  <si>
    <t>Akaryakıt Gideri - 34 DD 5677</t>
  </si>
  <si>
    <t>T01.004</t>
  </si>
  <si>
    <t>Akaryakıt Gideri - 34 BPY 282</t>
  </si>
  <si>
    <t>T01.008</t>
  </si>
  <si>
    <t>Akaryakıt Gideri - 34 RP 2632</t>
  </si>
  <si>
    <t>T01.010</t>
  </si>
  <si>
    <t>Akaryakıt Gideri - 34 GFK 183</t>
  </si>
  <si>
    <t>T02.004</t>
  </si>
  <si>
    <t>Araç Bakım Onarım Gideri - 34 BPY 282</t>
  </si>
  <si>
    <t>T02.008</t>
  </si>
  <si>
    <t>Araç Bakım Onarım Gideri - 34 RP 2632</t>
  </si>
  <si>
    <t>T03.099</t>
  </si>
  <si>
    <t>Otopark Gideri - Diğer</t>
  </si>
  <si>
    <t>T05.009</t>
  </si>
  <si>
    <t>Kasgo ve Sigorta Gideri - 34 ASK 321</t>
  </si>
  <si>
    <t>T09 -</t>
  </si>
  <si>
    <t>Diğer Araç Giderleri</t>
  </si>
  <si>
    <t>T09.004</t>
  </si>
  <si>
    <t>Ogs - Hgs Giderleri</t>
  </si>
  <si>
    <t>T09.009</t>
  </si>
  <si>
    <t>Araca Bağlı Diğer Giderler</t>
  </si>
  <si>
    <t>U02.001</t>
  </si>
  <si>
    <t>Sarf Malzemesi Giderileri</t>
  </si>
  <si>
    <t>U02.004</t>
  </si>
  <si>
    <t>Kalıp Ve Klışe Giderleri</t>
  </si>
  <si>
    <t>U02.009</t>
  </si>
  <si>
    <t>Diğer Üretim Giderleri</t>
  </si>
  <si>
    <t>Z01.001</t>
  </si>
  <si>
    <t>E-Ticaret Komisyon Gideri</t>
  </si>
  <si>
    <t>Z02.001</t>
  </si>
  <si>
    <t>LCW- Kesinti</t>
  </si>
  <si>
    <t>Nakit</t>
  </si>
  <si>
    <t>Tutar USD</t>
  </si>
  <si>
    <t xml:space="preserve">Fiona - Çin </t>
  </si>
  <si>
    <t>20-25.08.2025</t>
  </si>
  <si>
    <t>Lc-W Ugg Avans Kesinti 1/3</t>
  </si>
  <si>
    <t>Lc-W Ugg Avans Kesinti 2/3</t>
  </si>
  <si>
    <t>Lc-W Ugg Avans Kesinti 3/3</t>
  </si>
  <si>
    <t>Ugg Konteyner 2 - Nakliye ödeme</t>
  </si>
  <si>
    <t>Ugg Konteyner 1 - Nakliye ödeme</t>
  </si>
  <si>
    <t>Ugg Konteyner 3 - Nakliye ödeme</t>
  </si>
  <si>
    <t>Durum</t>
  </si>
  <si>
    <t>Nakit Alacak</t>
  </si>
  <si>
    <t>Nakit Alacaklar Toplam</t>
  </si>
  <si>
    <t>Altan Verilecek</t>
  </si>
  <si>
    <t>Extra Ödeme Nakit</t>
  </si>
  <si>
    <t>Nakit İşçilik Dahil</t>
  </si>
  <si>
    <t>Krediler Kesintiler Toplam</t>
  </si>
  <si>
    <t>Çek Ödeme</t>
  </si>
  <si>
    <t>Nakit Ödemeler Toplamı</t>
  </si>
  <si>
    <t>GG Çek</t>
  </si>
  <si>
    <t>20 Ağustos iti bari ile elimizde öngörülen Siparişler Tamamlanmış olur</t>
  </si>
  <si>
    <t>İşçilik</t>
  </si>
  <si>
    <t>Birim Fiyat</t>
  </si>
  <si>
    <t>Enjeksiyon grubu</t>
  </si>
  <si>
    <t xml:space="preserve">15 gün ücretli </t>
  </si>
  <si>
    <t>15 gün ücretsiz izine gönderelim</t>
  </si>
  <si>
    <t>Eva Enjeksiyon</t>
  </si>
  <si>
    <t>Monta</t>
  </si>
  <si>
    <t>Patch Yapıştırma</t>
  </si>
  <si>
    <t>x1</t>
  </si>
  <si>
    <t>x3</t>
  </si>
  <si>
    <t>ugg konteynerlar için</t>
  </si>
  <si>
    <t xml:space="preserve">10-22 Temmuz arası </t>
  </si>
  <si>
    <t>Kasada olması gereken tutar</t>
  </si>
  <si>
    <t>Işık montaj sarma</t>
  </si>
  <si>
    <t>Vardola Sargı işçilik</t>
  </si>
  <si>
    <t>Sim Uygulama</t>
  </si>
  <si>
    <t>Genel Gider</t>
  </si>
  <si>
    <t>Kredi</t>
  </si>
  <si>
    <t>Finans kredi EO</t>
  </si>
  <si>
    <t>Sahsi</t>
  </si>
  <si>
    <t xml:space="preserve">Kubilay kredi </t>
  </si>
  <si>
    <t>Emirhan Gürbüz kart Garanti</t>
  </si>
  <si>
    <t>Sahin taban finansbank kart</t>
  </si>
  <si>
    <t xml:space="preserve">Nexgen kimya Finansbak </t>
  </si>
  <si>
    <t>TARIH</t>
  </si>
  <si>
    <t xml:space="preserve">Altan terzi. Ziraat </t>
  </si>
  <si>
    <t>Altan terzi. Garanti</t>
  </si>
  <si>
    <t xml:space="preserve">Umit Terzi Kredi </t>
  </si>
  <si>
    <t>Borc</t>
  </si>
  <si>
    <t>Hasan Haykir</t>
  </si>
  <si>
    <t>kart</t>
  </si>
  <si>
    <t>Burcin terzi kart</t>
  </si>
  <si>
    <t>Ibrahim KILIC</t>
  </si>
  <si>
    <t>Esra orhan</t>
  </si>
  <si>
    <t>Samet kismet ticaret</t>
  </si>
  <si>
    <t xml:space="preserve">Ahmet Gungoren </t>
  </si>
  <si>
    <t>Seydanur haykir</t>
  </si>
  <si>
    <t>Hasan Haykir  Garanti</t>
  </si>
  <si>
    <t>Hasan Haykir vakifbank</t>
  </si>
  <si>
    <t>sahsi</t>
  </si>
  <si>
    <t xml:space="preserve">Metin tuncer kart </t>
  </si>
  <si>
    <t>Metin can biyik akbank kubi</t>
  </si>
  <si>
    <t>Kubilay kart Garanti</t>
  </si>
  <si>
    <t xml:space="preserve">Sahin terzi garanti </t>
  </si>
  <si>
    <t>Adem İbrahimoğlu</t>
  </si>
  <si>
    <t>Sahin Terzi Finans bank</t>
  </si>
  <si>
    <t>14.11.2025 Asgari 230 bin ödendi</t>
  </si>
  <si>
    <t>İbrahim Kılıç - Araç ödemesi</t>
  </si>
  <si>
    <t>Efsun Akyüz</t>
  </si>
  <si>
    <t>Furkan Akyüz - İbrahim in arkadaşı</t>
  </si>
  <si>
    <t>Serhat Gülmen - Personel</t>
  </si>
  <si>
    <t>Maas</t>
  </si>
  <si>
    <t>Ödendi</t>
  </si>
  <si>
    <t>maaş</t>
  </si>
  <si>
    <t>serkan</t>
  </si>
  <si>
    <t>İşlenecek</t>
  </si>
  <si>
    <t>Sahin taban.  Kuveytturk Kart</t>
  </si>
  <si>
    <t>Nexgen KMH</t>
  </si>
  <si>
    <t>Bilir gümrük</t>
  </si>
  <si>
    <t>Cariye</t>
  </si>
  <si>
    <t>SAHIN TABAN      TEB KART</t>
  </si>
  <si>
    <t>FINANSBANK sahin taban kart</t>
  </si>
  <si>
    <t>KADIM ORTAK SAGLIK</t>
  </si>
  <si>
    <t>Vergi</t>
  </si>
  <si>
    <t xml:space="preserve">Pera.   </t>
  </si>
  <si>
    <t>Gecikmede</t>
  </si>
  <si>
    <t>Listede var</t>
  </si>
  <si>
    <t xml:space="preserve">Adem Ibrahimoglu </t>
  </si>
  <si>
    <t xml:space="preserve">Sahin Terzi Finans bank. </t>
  </si>
  <si>
    <t>45 gün</t>
  </si>
  <si>
    <t xml:space="preserve">Esra orhan </t>
  </si>
  <si>
    <t xml:space="preserve">Efsun akyuz </t>
  </si>
  <si>
    <t xml:space="preserve">furkan </t>
  </si>
  <si>
    <t>Serhat</t>
  </si>
  <si>
    <t xml:space="preserve">Ibrahim Kilic </t>
  </si>
  <si>
    <t xml:space="preserve">Sinan ates kmh </t>
  </si>
  <si>
    <t xml:space="preserve">Sinan Ates kkredi karti </t>
  </si>
  <si>
    <t xml:space="preserve">Metin Can EMIN KART.         </t>
  </si>
  <si>
    <t>Altan terzi garanti</t>
  </si>
  <si>
    <t>Yazılan Notlar</t>
  </si>
  <si>
    <t>TL - Kalan Borçları TL</t>
  </si>
  <si>
    <t>Döviz  - Kalan Borçları - TL</t>
  </si>
  <si>
    <t>Genel - Borç</t>
  </si>
  <si>
    <t>Kasa</t>
  </si>
  <si>
    <t>Şahin Terzi Kart</t>
  </si>
  <si>
    <t>Sahin taban Vergi</t>
  </si>
  <si>
    <t>Nexgen  vergi</t>
  </si>
  <si>
    <t>Rafet aydın</t>
  </si>
  <si>
    <t>Mehmet Uzunali</t>
  </si>
  <si>
    <t>Mesut Keskin</t>
  </si>
  <si>
    <t xml:space="preserve">Dayı </t>
  </si>
  <si>
    <t>Nakit İhtiyacı</t>
  </si>
  <si>
    <t>Nakit İhtiyacı - 2</t>
  </si>
  <si>
    <t>Nakit İhtiyacı - 3</t>
  </si>
  <si>
    <t>Nakit İhtiyacı - 4</t>
  </si>
  <si>
    <t xml:space="preserve">KGF  Nakit İhtiyacı </t>
  </si>
  <si>
    <t>Denizbank</t>
  </si>
  <si>
    <t>Vakıf Katılım</t>
  </si>
  <si>
    <t>Patch - ışık - Kalıp</t>
  </si>
  <si>
    <t>Durum Kredi2</t>
  </si>
  <si>
    <t xml:space="preserve">Nexgen Kimya </t>
  </si>
  <si>
    <t>Altuğ Kimya</t>
  </si>
  <si>
    <t>Mehmet Kurt (Stıkır )</t>
  </si>
  <si>
    <t>As Aras Turizm - Servis</t>
  </si>
  <si>
    <t xml:space="preserve">Doğan Plastik Sanayi-Aşkın Arslan </t>
  </si>
  <si>
    <t>0379210</t>
  </si>
  <si>
    <t>7021619</t>
  </si>
  <si>
    <t>0379211</t>
  </si>
  <si>
    <t>0379212</t>
  </si>
  <si>
    <t>Ümit terzi - Qnb Finans Kart</t>
  </si>
  <si>
    <t>Lc-W Işık Patch Avans Kesinti 4/6</t>
  </si>
  <si>
    <t>Lc-W Işık Patch Avans Kesinti 5/6</t>
  </si>
  <si>
    <t>Lc-W Işık Patch Avans Kesinti 1/6</t>
  </si>
  <si>
    <t>Lc-W Işık Patch Avans Kesinti 2/6</t>
  </si>
  <si>
    <t>Lc-W Işık Patch Avans Kesinti 3/6</t>
  </si>
  <si>
    <t>Nexgen Kart</t>
  </si>
  <si>
    <t>Gümrük</t>
  </si>
  <si>
    <t>ibrahim kılıç</t>
  </si>
  <si>
    <t>Kart Ziraat</t>
  </si>
  <si>
    <t>Dolar yapıldı</t>
  </si>
  <si>
    <t>Altan Terzi - Kuveyt türk</t>
  </si>
  <si>
    <t>Şirket</t>
  </si>
  <si>
    <t>Şahin taban - Kuveytturk - Şirket</t>
  </si>
  <si>
    <t>Nexgen - Kuveytturk - Şirket</t>
  </si>
  <si>
    <t>Şahıs</t>
  </si>
  <si>
    <t xml:space="preserve">Alpay 2024 </t>
  </si>
  <si>
    <t>Birim</t>
  </si>
  <si>
    <t>MALZEMENİN CİNSİ</t>
  </si>
  <si>
    <t>ÖDEME</t>
  </si>
  <si>
    <t>TUTARI</t>
  </si>
  <si>
    <t>Bakiye</t>
  </si>
  <si>
    <t>Belge Tipi</t>
  </si>
  <si>
    <t>Nakit Tahsilat</t>
  </si>
  <si>
    <t>Ahmet Kozan -  Esem ödeme</t>
  </si>
  <si>
    <t>Adet</t>
  </si>
  <si>
    <t>Ödeme Toplamı</t>
  </si>
  <si>
    <t>Tutar Toplamı</t>
  </si>
  <si>
    <t>Çek Tahsilat</t>
  </si>
  <si>
    <t>Lcw - Gelen Fatura Ödeme</t>
  </si>
  <si>
    <t>Şahin Taban- Kuveyt türk kart</t>
  </si>
  <si>
    <t>Hasan Haykır</t>
  </si>
  <si>
    <t>Şahsi Kredi</t>
  </si>
  <si>
    <t>Peaky</t>
  </si>
  <si>
    <t>Hmd ödeme</t>
  </si>
  <si>
    <t>İbrahim Şahsi Kart</t>
  </si>
  <si>
    <t>Nexgen Ticari Kart</t>
  </si>
  <si>
    <t>Kubilay Kredi Taksit</t>
  </si>
  <si>
    <t xml:space="preserve">Kredi </t>
  </si>
  <si>
    <t>K - Kart</t>
  </si>
  <si>
    <t>Umit Terzi Kredi</t>
  </si>
  <si>
    <t>Maaş ödeme</t>
  </si>
  <si>
    <t>Şahin Taban Banka- Elden-Tazminat</t>
  </si>
  <si>
    <t>Nexgen Banka-Elden</t>
  </si>
  <si>
    <t>Pera Banka-Elden</t>
  </si>
  <si>
    <t>Denizbank Kredi Taksit</t>
  </si>
  <si>
    <t>Carı Odeme</t>
  </si>
  <si>
    <t>Nexgen Aktif filo Odeme</t>
  </si>
  <si>
    <t>Furkan Akyüz</t>
  </si>
  <si>
    <t>Şahin terzi Garanti bank kart</t>
  </si>
  <si>
    <t>Ktl Nakliyat Fatura Cari ödeme</t>
  </si>
  <si>
    <t>Saim ege Mali müsavir</t>
  </si>
  <si>
    <t>Ödenen Tutar</t>
  </si>
  <si>
    <t>Sahin terzi finansbank kart</t>
  </si>
  <si>
    <t>Kuveyttürk - Ahmet Kozan Cek Tahsil ödeme</t>
  </si>
  <si>
    <t>Tedi ödeme</t>
  </si>
  <si>
    <t>Geri ödeme</t>
  </si>
  <si>
    <t>Altan Bey -Sahsi</t>
  </si>
  <si>
    <t>Kalan para</t>
  </si>
  <si>
    <t>Nakliye - Salih Goktaş - Nexgen</t>
  </si>
  <si>
    <t>Emirhan Kredi Kartı</t>
  </si>
  <si>
    <t>Notlar</t>
  </si>
  <si>
    <t>Aktif</t>
  </si>
  <si>
    <t>Bitti</t>
  </si>
  <si>
    <t>Kart Kapandı</t>
  </si>
  <si>
    <t>Kapanacak</t>
  </si>
  <si>
    <t>Zeynel ödeme</t>
  </si>
  <si>
    <t>Ercan Arslan Arabuluculuk ödeme</t>
  </si>
  <si>
    <t>Gümrük ardiye ödeme</t>
  </si>
  <si>
    <t>Burs odemes* Gayriresmi</t>
  </si>
  <si>
    <t>Teb Bankası</t>
  </si>
  <si>
    <t>Kuveyttürk</t>
  </si>
  <si>
    <t>Saim ege Mali müsavir Sermaye artırım</t>
  </si>
  <si>
    <t xml:space="preserve">Qnb Şahin taban - </t>
  </si>
  <si>
    <t>Asgarisi</t>
  </si>
  <si>
    <t>Şahin Terzi Qnb Şahsi</t>
  </si>
  <si>
    <t>Sevgi Terz K-Kart Yapılandırma</t>
  </si>
  <si>
    <t>Grosfoam</t>
  </si>
  <si>
    <t>Elkim Kauçuk</t>
  </si>
  <si>
    <t>Çin Tpe- Sebs alım</t>
  </si>
  <si>
    <t xml:space="preserve">405.000 tl Gondericez </t>
  </si>
  <si>
    <t>Zeytas</t>
  </si>
  <si>
    <t>Tesisatla ilgili yapilan islem icin odeme</t>
  </si>
  <si>
    <t xml:space="preserve">Umit terzi maas eksigi </t>
  </si>
  <si>
    <t>Bonus</t>
  </si>
  <si>
    <t>Eva Personel Bonus</t>
  </si>
  <si>
    <t>cari odeme</t>
  </si>
  <si>
    <t>zeytas</t>
  </si>
  <si>
    <t xml:space="preserve">arac tamiri doblo </t>
  </si>
  <si>
    <t>Kısmet Ayakkabı Yan San. ve Tic A.Ş</t>
  </si>
  <si>
    <t>Nexgen Kimya San.ve Tic.Ltd.Şti</t>
  </si>
  <si>
    <t>Pera</t>
  </si>
  <si>
    <t>Altuğ kimya  Tekstil Sanayi ve Ticaret Ltd Şti</t>
  </si>
  <si>
    <t>Erdoğan Moda Metal  ve Plastik San. Ve Tic Ltd. Şti.</t>
  </si>
  <si>
    <t>7021622</t>
  </si>
  <si>
    <t>7021625</t>
  </si>
  <si>
    <t>7021624</t>
  </si>
  <si>
    <t>7021626</t>
  </si>
  <si>
    <t xml:space="preserve">Kredi Karti </t>
  </si>
  <si>
    <t>Nexgen Kimya Kredi karti Finansbank</t>
  </si>
  <si>
    <t>Nebi tecer Finansbank</t>
  </si>
  <si>
    <t xml:space="preserve">metin tuncer kart </t>
  </si>
  <si>
    <t>Develi ticaret</t>
  </si>
  <si>
    <t>DHL Kargo</t>
  </si>
  <si>
    <t>Cari Odeme</t>
  </si>
  <si>
    <t>Surat kargo</t>
  </si>
  <si>
    <t>Esra Orhan</t>
  </si>
  <si>
    <t>Sinan Ates</t>
  </si>
  <si>
    <t>Elektrik</t>
  </si>
  <si>
    <t>Sahin Taban Elektrik</t>
  </si>
  <si>
    <t>Sermaye Artirimi Saim Ege</t>
  </si>
  <si>
    <t>Gross Foam</t>
  </si>
  <si>
    <t>Nexgen kimya Elektrik</t>
  </si>
  <si>
    <t xml:space="preserve"> Bu Elektrik odemesi Nexgen Kredi Kartiyla yapilcak</t>
  </si>
  <si>
    <t>Omte cevre</t>
  </si>
  <si>
    <t>Nakliye</t>
  </si>
  <si>
    <t>Naklue</t>
  </si>
  <si>
    <t>Mehmet uzunali</t>
  </si>
  <si>
    <t xml:space="preserve"> </t>
  </si>
  <si>
    <t>hmd odeme</t>
  </si>
  <si>
    <t>Alpay dulger</t>
  </si>
  <si>
    <t>Cin tpe Sebs alim 4000 $</t>
  </si>
  <si>
    <t>Cmr Kimya Nexgen Odemesi</t>
  </si>
  <si>
    <t>Civil in patcleri 7046 $</t>
  </si>
  <si>
    <t xml:space="preserve">aktuel aritma </t>
  </si>
  <si>
    <t>Orka</t>
  </si>
  <si>
    <t>basak bilgisayar</t>
  </si>
  <si>
    <t>organize etiket</t>
  </si>
  <si>
    <t>elektrik</t>
  </si>
  <si>
    <t>tarkan reklam</t>
  </si>
  <si>
    <t>Doblo arac cekilme</t>
  </si>
  <si>
    <t>altan terzi</t>
  </si>
  <si>
    <t>Tahakkuk Sahin taban</t>
  </si>
  <si>
    <t>KDV 2</t>
  </si>
  <si>
    <t>SGK Sahin Taban</t>
  </si>
  <si>
    <t>Sgk</t>
  </si>
  <si>
    <t>Ssgk</t>
  </si>
  <si>
    <t>Adem terzi</t>
  </si>
  <si>
    <t>Bagkur</t>
  </si>
  <si>
    <t>Tahakkuk Nexgen</t>
  </si>
  <si>
    <t>Sgk Nexgen</t>
  </si>
  <si>
    <t>Kredi Sahin taban</t>
  </si>
  <si>
    <t>Teb Kredi Sahin Taban</t>
  </si>
  <si>
    <t>Saim ege Sahin Nexgen Pera DefterUcreti</t>
  </si>
  <si>
    <t>Cek</t>
  </si>
  <si>
    <t>Sahin Taban Cek</t>
  </si>
  <si>
    <t>borc</t>
  </si>
  <si>
    <t>Umit terzi</t>
  </si>
  <si>
    <t>Okul</t>
  </si>
  <si>
    <t>Nexgen pdl</t>
  </si>
  <si>
    <t>Burcin Terzi</t>
  </si>
  <si>
    <t>Kdv</t>
  </si>
  <si>
    <t>Viyolet</t>
  </si>
  <si>
    <t>Nexgen Aydin madencilik</t>
  </si>
  <si>
    <t>Develi ticaret Sahin taban</t>
  </si>
  <si>
    <t>Nexgen Baca emisyon</t>
  </si>
  <si>
    <t>Bogazici danismanlik Nexgen</t>
  </si>
  <si>
    <t xml:space="preserve">Saim ege Sahin Nexgen </t>
  </si>
  <si>
    <t>Bilir gumruk Sahin taban</t>
  </si>
  <si>
    <t>Babacan nakliye NEXGEN</t>
  </si>
  <si>
    <t>Mesut Keskin nakliye  NEXGEN</t>
  </si>
  <si>
    <t>Anil torna Nexgen</t>
  </si>
  <si>
    <t>zeytas elektrik nexgen</t>
  </si>
  <si>
    <t>Dbs finansbank nexgen</t>
  </si>
  <si>
    <t>dbs finansbank sahin taban</t>
  </si>
  <si>
    <t>Cesurlar lazer</t>
  </si>
  <si>
    <t xml:space="preserve">34GFK182 KIS LASTIGI </t>
  </si>
  <si>
    <t>Ozguven yangin nexgen ve sahin taban</t>
  </si>
  <si>
    <t>z</t>
  </si>
  <si>
    <t>Mevcut Kasa</t>
  </si>
  <si>
    <t xml:space="preserve">Kubilay gurbuz </t>
  </si>
  <si>
    <t>EO kredi</t>
  </si>
  <si>
    <t>Cin</t>
  </si>
  <si>
    <t xml:space="preserve"> 9000 DOLAR KARSILIGI</t>
  </si>
  <si>
    <t>Sevgi Terzi</t>
  </si>
  <si>
    <t>Sahin taban Finansbank Kredi kart</t>
  </si>
  <si>
    <t>Maas Odeme</t>
  </si>
  <si>
    <t xml:space="preserve">Sahin Nexgen Pera </t>
  </si>
  <si>
    <t>Cek Tahsilat</t>
  </si>
  <si>
    <t xml:space="preserve">Fatura </t>
  </si>
  <si>
    <t>Denizbank Kredi</t>
  </si>
  <si>
    <t>Kuveyturk Cek Tahsilati</t>
  </si>
  <si>
    <t>Cari Tahsilat</t>
  </si>
  <si>
    <t>Ahmet kozan</t>
  </si>
  <si>
    <t>PVC Odemesi 20251211PVC</t>
  </si>
  <si>
    <t>PVC Odemesi 20251212PVC Belt</t>
  </si>
  <si>
    <t xml:space="preserve"> 5708 DOLAR KARSILIGI</t>
  </si>
  <si>
    <t>Sahin Taban Kredi Kuveytturk</t>
  </si>
  <si>
    <t>Superonline Wachguard 24010498</t>
  </si>
  <si>
    <t xml:space="preserve">KTL tasima firmasi cin </t>
  </si>
  <si>
    <t xml:space="preserve">Unteks etiket odemesi yapildi </t>
  </si>
  <si>
    <t>Turkcell fatura 7900555126</t>
  </si>
  <si>
    <t>Devlet</t>
  </si>
  <si>
    <t>Mehmet sait seyhan Kandil simidi</t>
  </si>
  <si>
    <t>Atalar makina Jenerator</t>
  </si>
  <si>
    <t xml:space="preserve">Universal elektrik </t>
  </si>
  <si>
    <t>Muhasebe Kasa</t>
  </si>
  <si>
    <t>Nexgen Cmr kimya urun alimi</t>
  </si>
  <si>
    <t xml:space="preserve">Mesut Keskin Sahin Taban </t>
  </si>
  <si>
    <t xml:space="preserve">Mehmet uzunali Nakliye Sahin taban </t>
  </si>
  <si>
    <t xml:space="preserve">Surat kargo  Sahin Taban </t>
  </si>
  <si>
    <t xml:space="preserve">Omte cevre Sahin taban </t>
  </si>
  <si>
    <t xml:space="preserve">Ozay Laminasyon tekstil Sahin taban </t>
  </si>
  <si>
    <t xml:space="preserve">As Aras Fatura Odeme </t>
  </si>
  <si>
    <t xml:space="preserve">12.101 DOLAR KARSILIGI </t>
  </si>
  <si>
    <t>Zeytas elektrik Nexgen</t>
  </si>
  <si>
    <t xml:space="preserve">Zeytas elektrik Sahin taban </t>
  </si>
  <si>
    <t>Teb Kredi karti Sahin Taban</t>
  </si>
  <si>
    <t>Samet Kilic</t>
  </si>
  <si>
    <t>Ruhsat</t>
  </si>
  <si>
    <t>Cevre Kalici ruhsat</t>
  </si>
  <si>
    <t>Peri kumascilik 3000 cift lcw siparisi</t>
  </si>
  <si>
    <t>Kuveyturk</t>
  </si>
  <si>
    <t>Kredi karti sahintaban 7614</t>
  </si>
  <si>
    <t>Kasa Durumu</t>
  </si>
  <si>
    <t>Kuveyturk Kredi</t>
  </si>
  <si>
    <t>Kira</t>
  </si>
  <si>
    <t>Nexgen kimya Kira Beyazit</t>
  </si>
  <si>
    <t>Asgari 250.000</t>
  </si>
  <si>
    <t>Gumruk</t>
  </si>
  <si>
    <t>Ithalat Beyannamesi</t>
  </si>
  <si>
    <t>Fabrika</t>
  </si>
  <si>
    <t>Moditeks elektrik odemesi</t>
  </si>
  <si>
    <t>Elso kimya sanayi ve tic a.s</t>
  </si>
  <si>
    <t xml:space="preserve">Star concord Konteyner odemesi </t>
  </si>
  <si>
    <t xml:space="preserve">1594.20 $ Karsiligi yapilcak </t>
  </si>
  <si>
    <t>Muhasebe</t>
  </si>
  <si>
    <t>Muhtasar NEXGEN KIMYA</t>
  </si>
  <si>
    <t>SGK NEXGEN KIMYA</t>
  </si>
  <si>
    <t>SGK PERA A.S</t>
  </si>
  <si>
    <t>Ay Sonu Odememiz Gereken Ceklerimiz</t>
  </si>
  <si>
    <t>Muhtasar PERA A.S</t>
  </si>
  <si>
    <t>Kuveytturk Kart Nexgen Kimya Miles</t>
  </si>
  <si>
    <t>Kuveytturk Kart Sahin Taban</t>
  </si>
  <si>
    <t>Muhasebe Ucreti PERA</t>
  </si>
  <si>
    <t xml:space="preserve">Eva Hammde prim </t>
  </si>
  <si>
    <t>Sahin terzi Finansbank</t>
  </si>
  <si>
    <t>Muhtasar Sahin taba</t>
  </si>
  <si>
    <t>Nexgen Kredi Karti</t>
  </si>
  <si>
    <t>Meydan makina ugg makina alimi</t>
  </si>
  <si>
    <t>Burhan Sayaci Ugg</t>
  </si>
  <si>
    <t xml:space="preserve">Sbs Lishui </t>
  </si>
  <si>
    <t>38.247,20 $ karsiligi yapilcak</t>
  </si>
  <si>
    <t xml:space="preserve">Zeytas elektrik Pera Havalandirma Icin </t>
  </si>
  <si>
    <t>Umit terzi Sgk borclanma Avans Alacak</t>
  </si>
  <si>
    <t>Carı odeme</t>
  </si>
  <si>
    <t>Kgf Kredisi</t>
  </si>
  <si>
    <t>TEB Bankası</t>
  </si>
  <si>
    <t>Taksit - 1</t>
  </si>
  <si>
    <t>Taksit - 2</t>
  </si>
  <si>
    <t>Taksit - 3</t>
  </si>
  <si>
    <t>Taksit - 4</t>
  </si>
  <si>
    <t>Taksit - 5</t>
  </si>
  <si>
    <t>Taksit - 6</t>
  </si>
  <si>
    <t>Taksit - 7</t>
  </si>
  <si>
    <t>Taksit - 8</t>
  </si>
  <si>
    <t>Taksit - 9</t>
  </si>
  <si>
    <t>Taksit - 10</t>
  </si>
  <si>
    <t>Taksit - 11</t>
  </si>
  <si>
    <t>Taksit - 12</t>
  </si>
  <si>
    <t>Gayri Resmi Borçlanma</t>
  </si>
  <si>
    <t>Extra Ödemeler Avans - Nakit</t>
  </si>
  <si>
    <t xml:space="preserve">Krediler </t>
  </si>
  <si>
    <t>Genel Gider - Nakit Maaş Dahil (Yaklaşık)</t>
  </si>
  <si>
    <t>Toplamlar</t>
  </si>
  <si>
    <t>Cenk Ozgen</t>
  </si>
  <si>
    <t>Umit terzi Finansbank kredi</t>
  </si>
  <si>
    <t xml:space="preserve">Kaan Bey Reaktif Nexgen </t>
  </si>
  <si>
    <t>Obco is guvenligi LCW denetim</t>
  </si>
  <si>
    <t>Nar Ajans Nexgen Web sitesi</t>
  </si>
  <si>
    <t xml:space="preserve"> Muhasebe</t>
  </si>
  <si>
    <t>Kdv 1 Odeme</t>
  </si>
  <si>
    <t xml:space="preserve">Avans </t>
  </si>
  <si>
    <t xml:space="preserve">Adem Terzi avans </t>
  </si>
  <si>
    <t xml:space="preserve">Cihan Makina 2000 $ Karsiligi </t>
  </si>
  <si>
    <t xml:space="preserve">Kasa </t>
  </si>
  <si>
    <t xml:space="preserve">Bahtiyar Ozbekistan  10000 $ </t>
  </si>
  <si>
    <t>Red Nakliyat Ambarli limandan Gelen</t>
  </si>
  <si>
    <t xml:space="preserve">703 $ Karsiligi </t>
  </si>
  <si>
    <t xml:space="preserve">Borc </t>
  </si>
  <si>
    <t xml:space="preserve"> Kredi</t>
  </si>
  <si>
    <t xml:space="preserve">Murat OZBEKISTAN MUSTERI </t>
  </si>
  <si>
    <t xml:space="preserve">1940 $ Dolar karsiligi </t>
  </si>
  <si>
    <t xml:space="preserve">Kubilay gurbuz Aldim </t>
  </si>
  <si>
    <t>11500 $ karsiligi</t>
  </si>
  <si>
    <t xml:space="preserve">Bahtiyar Ozbekistan  </t>
  </si>
  <si>
    <t xml:space="preserve">Bahtiyar Ozbekistan   </t>
  </si>
  <si>
    <t>8500 $ Karsiligi</t>
  </si>
  <si>
    <r>
      <t xml:space="preserve"> </t>
    </r>
    <r>
      <rPr>
        <b/>
        <sz val="14"/>
        <color rgb="FFFF0000"/>
        <rFont val="Helvetica Neue (Gövde)"/>
        <charset val="162"/>
      </rPr>
      <t>Personel</t>
    </r>
  </si>
  <si>
    <t xml:space="preserve">2800 $ BOZDURDUK </t>
  </si>
  <si>
    <t>Trendyol</t>
  </si>
  <si>
    <t xml:space="preserve">Adem Terzi avans Kredi karti </t>
  </si>
  <si>
    <t xml:space="preserve">Pera TESCIL ICIN ODEME </t>
  </si>
  <si>
    <t>KASA</t>
  </si>
  <si>
    <t>Pera Otto Dan Gelen</t>
  </si>
  <si>
    <t>Erhan Fethi ATLAR</t>
  </si>
  <si>
    <t>Tks Fatura odeme</t>
  </si>
  <si>
    <t xml:space="preserve">Cin </t>
  </si>
  <si>
    <t xml:space="preserve">Adem Terzi </t>
  </si>
  <si>
    <r>
      <rPr>
        <b/>
        <sz val="14"/>
        <color rgb="FFFF0000"/>
        <rFont val="Helvetica Neue (Gövde)"/>
        <charset val="162"/>
      </rPr>
      <t>6000 $ Karsiligi</t>
    </r>
    <r>
      <rPr>
        <b/>
        <sz val="14"/>
        <rFont val="Helvetica Neue"/>
        <family val="2"/>
        <charset val="162"/>
        <scheme val="minor"/>
      </rPr>
      <t xml:space="preserve"> </t>
    </r>
  </si>
  <si>
    <t>Bogazici Aritma Nexgen</t>
  </si>
  <si>
    <t xml:space="preserve">Teknik Muhayene Sahin taban  </t>
  </si>
  <si>
    <t xml:space="preserve">Teknoteks </t>
  </si>
  <si>
    <t>Sahis</t>
  </si>
  <si>
    <t>Muhammed Emirhan Culuken</t>
  </si>
  <si>
    <t xml:space="preserve">2000 $ karsiligi </t>
  </si>
  <si>
    <t xml:space="preserve">EO Kredi </t>
  </si>
  <si>
    <t>Son Ortak Saglik</t>
  </si>
  <si>
    <t xml:space="preserve">Sahin taban Kredi Kuveytturk </t>
  </si>
  <si>
    <t xml:space="preserve">Turkcell </t>
  </si>
  <si>
    <t xml:space="preserve">Lcw Gelen Odeme </t>
  </si>
  <si>
    <t xml:space="preserve">Sbs Lishui Gumrk Nexgen </t>
  </si>
  <si>
    <t>Korgun Yazilim</t>
  </si>
  <si>
    <t xml:space="preserve">Violet Omer aksu </t>
  </si>
  <si>
    <t>Personel</t>
  </si>
  <si>
    <t>Erhan Atli Avans</t>
  </si>
  <si>
    <t>Erhan Atli Nexgen IZMIR Harcama</t>
  </si>
  <si>
    <t xml:space="preserve">Pera Kasa </t>
  </si>
  <si>
    <t>Burhan Sayaci</t>
  </si>
  <si>
    <t xml:space="preserve">Mehmet cekic eticaret Avans </t>
  </si>
  <si>
    <t>Star Concord Konteynir</t>
  </si>
  <si>
    <t xml:space="preserve">619.20 $ Dolar Karsiligi </t>
  </si>
  <si>
    <t>Sahin taban Tahakkuk</t>
  </si>
  <si>
    <t>Nexgen Kimya Tahakkuk</t>
  </si>
  <si>
    <t>Sahin taban Banka Banka</t>
  </si>
  <si>
    <t xml:space="preserve">Sahin Taban Elden </t>
  </si>
  <si>
    <t xml:space="preserve">Nexgen Kimya Banka </t>
  </si>
  <si>
    <t>Nexgen Kimya Elden</t>
  </si>
  <si>
    <t>Pera Maas Banka</t>
  </si>
  <si>
    <t>Pera Maas Elden</t>
  </si>
  <si>
    <t>Tazminatlar</t>
  </si>
  <si>
    <t>Sahin Taban Tazminat Odemeleri</t>
  </si>
  <si>
    <t>umit Terzi kredi</t>
  </si>
  <si>
    <t>Fatura</t>
  </si>
  <si>
    <t xml:space="preserve">Avel Elektrik </t>
  </si>
  <si>
    <t>Lokal Masraf</t>
  </si>
  <si>
    <t xml:space="preserve"> Sbs icin Gelen Konteyner Lokal</t>
  </si>
  <si>
    <t xml:space="preserve"> 2506 $ Lokal Masraf 2000 Depozito</t>
  </si>
  <si>
    <t>Arac</t>
  </si>
  <si>
    <t>34GFK182 DOBLO Muahyene</t>
  </si>
  <si>
    <t>Burs</t>
  </si>
  <si>
    <t xml:space="preserve">Ogrenci Bursu </t>
  </si>
  <si>
    <t>0383254</t>
  </si>
  <si>
    <t>0383259</t>
  </si>
  <si>
    <t>MAGDEBURGER SİGORTA A.Ş.</t>
  </si>
  <si>
    <t>0383258</t>
  </si>
  <si>
    <t>0383260</t>
  </si>
  <si>
    <t>Polimer Ambalaj -Doğan Sağlam</t>
  </si>
  <si>
    <t>0383261</t>
  </si>
  <si>
    <t>0383253</t>
  </si>
  <si>
    <t>Kısmet Ticaret</t>
  </si>
  <si>
    <t>Kmh</t>
  </si>
  <si>
    <t xml:space="preserve">Ibrahim </t>
  </si>
  <si>
    <t>Teminat</t>
  </si>
  <si>
    <t xml:space="preserve">Teminat Kmh </t>
  </si>
  <si>
    <r>
      <rPr>
        <b/>
        <sz val="14"/>
        <color theme="1"/>
        <rFont val="Helvetica Neue (Gövde)"/>
        <charset val="162"/>
      </rPr>
      <t>Nexgen Kimya Banka Kuveytturk</t>
    </r>
    <r>
      <rPr>
        <b/>
        <sz val="14"/>
        <color rgb="FFFF0000"/>
        <rFont val="Helvetica Neue"/>
        <family val="2"/>
        <charset val="162"/>
        <scheme val="minor"/>
      </rPr>
      <t xml:space="preserve"> </t>
    </r>
  </si>
  <si>
    <t>Dbs Sisteminden Otomatik Odeme yapildi</t>
  </si>
  <si>
    <t>Sermaye</t>
  </si>
  <si>
    <t>Nexgen Sermaye Artirimi</t>
  </si>
  <si>
    <t>Ahmet Kozan Gelen Odeme</t>
  </si>
  <si>
    <t>Bahtiyar Ve Lutfiye Gelen Odeme</t>
  </si>
  <si>
    <t>11120$ Karsiligi</t>
  </si>
  <si>
    <t>Vakif Katilim</t>
  </si>
  <si>
    <t xml:space="preserve">Teb Bankasi </t>
  </si>
  <si>
    <r>
      <t xml:space="preserve">Superonline watchguard </t>
    </r>
    <r>
      <rPr>
        <b/>
        <sz val="14"/>
        <color rgb="FFFF0000"/>
        <rFont val="Helvetica Neue (Gövde)"/>
        <charset val="162"/>
      </rPr>
      <t>KAPANDI</t>
    </r>
  </si>
  <si>
    <t xml:space="preserve">Star Concord Konteynir Kalip </t>
  </si>
  <si>
    <t xml:space="preserve">688 $ Dolar Telex yapilamadigi icin kaldi </t>
  </si>
  <si>
    <t>Borc Aldim</t>
  </si>
  <si>
    <t>Pera Tahakuk</t>
  </si>
  <si>
    <t>Finansbank Kart</t>
  </si>
  <si>
    <t>Safak Havalandrma Pera</t>
  </si>
  <si>
    <t>Nexgen Kimya Kredi Karti Kuveyt</t>
  </si>
  <si>
    <t>Sahin taban Kredi Karti  Kuveyt</t>
  </si>
  <si>
    <t>Cikisi Verilen Personel Odemeleri</t>
  </si>
  <si>
    <t xml:space="preserve">Borc Alindi </t>
  </si>
  <si>
    <t>Borc Kasa</t>
  </si>
  <si>
    <t xml:space="preserve">Bilir Gumruk </t>
  </si>
  <si>
    <t>Ithalat Finansmani Vakif katilim</t>
  </si>
  <si>
    <t>Bahtiyar Gelen Odeme</t>
  </si>
  <si>
    <r>
      <t xml:space="preserve"> </t>
    </r>
    <r>
      <rPr>
        <b/>
        <sz val="14"/>
        <color rgb="FFFF0000"/>
        <rFont val="Helvetica Neue (Gövde)"/>
        <charset val="162"/>
      </rPr>
      <t xml:space="preserve">6400 $ Karsiligi </t>
    </r>
  </si>
  <si>
    <t xml:space="preserve">Muhasebe  Kasa </t>
  </si>
  <si>
    <t xml:space="preserve">Mehmet ekici </t>
  </si>
  <si>
    <t xml:space="preserve">7225 $ dolar karsiligi </t>
  </si>
  <si>
    <t>Polex kimya hesap kapama</t>
  </si>
  <si>
    <t>Nexgen Kimya  Sancar</t>
  </si>
  <si>
    <t>FAMAS makina</t>
  </si>
  <si>
    <t>Pera Terlik</t>
  </si>
  <si>
    <t>Kasa Devri 900.000 TL KMH</t>
  </si>
  <si>
    <t>Vade Tutar</t>
  </si>
  <si>
    <t>14913</t>
  </si>
  <si>
    <t xml:space="preserve">Orbital Yazılım </t>
  </si>
  <si>
    <t>379202</t>
  </si>
  <si>
    <t>Demirel Oluklu Mukavva</t>
  </si>
  <si>
    <t>7021617</t>
  </si>
  <si>
    <t>379204</t>
  </si>
  <si>
    <t>7021620</t>
  </si>
  <si>
    <t>7021618</t>
  </si>
  <si>
    <t>0379208</t>
  </si>
  <si>
    <t>14914</t>
  </si>
  <si>
    <t>7021623</t>
  </si>
  <si>
    <t>0379209</t>
  </si>
  <si>
    <t>Gros Foam</t>
  </si>
  <si>
    <t>0014909</t>
  </si>
  <si>
    <t>0014910</t>
  </si>
  <si>
    <t>7021621</t>
  </si>
  <si>
    <t>14915</t>
  </si>
  <si>
    <t>Viyolet Matbaa Etiket-Ömer Aksu</t>
  </si>
  <si>
    <t xml:space="preserve">inter kaucuk </t>
  </si>
  <si>
    <t>Mehmet kurt</t>
  </si>
  <si>
    <t>Ozay Laminasyon</t>
  </si>
  <si>
    <t>Meram Dar Dokuma</t>
  </si>
  <si>
    <t>Ck karadag</t>
  </si>
  <si>
    <t>Armet Kaynak</t>
  </si>
  <si>
    <t>Surat Kargo</t>
  </si>
  <si>
    <t xml:space="preserve">Biotem </t>
  </si>
  <si>
    <r>
      <t>CEK</t>
    </r>
    <r>
      <rPr>
        <b/>
        <sz val="14"/>
        <color rgb="FFFF0000"/>
        <rFont val="Helvetica Neue (Gövde)"/>
        <charset val="162"/>
      </rPr>
      <t xml:space="preserve"> Odemelerimiz</t>
    </r>
  </si>
  <si>
    <t>Basak Bilgisayar</t>
  </si>
  <si>
    <t xml:space="preserve">Kre Enerji </t>
  </si>
  <si>
    <t>Teknik yapi</t>
  </si>
  <si>
    <t>Mesut Keskin Nakliye sahin</t>
  </si>
  <si>
    <t>Rafet aydin nakliye</t>
  </si>
  <si>
    <t>Orka Laminasyon</t>
  </si>
  <si>
    <t xml:space="preserve"> Mehmet uzunali nakliye sahin</t>
  </si>
  <si>
    <t>Ogranize etiket</t>
  </si>
  <si>
    <t>Azpersoft</t>
  </si>
  <si>
    <t>Orbital</t>
  </si>
  <si>
    <t>Organize ETIKET</t>
  </si>
  <si>
    <t>Atak mobilya</t>
  </si>
  <si>
    <t>Univrsal elektrik sahin</t>
  </si>
  <si>
    <r>
      <t xml:space="preserve">Mesut Keskin Nakliye </t>
    </r>
    <r>
      <rPr>
        <b/>
        <sz val="14"/>
        <color rgb="FFFF0000"/>
        <rFont val="Helvetica Neue (Gövde)"/>
        <charset val="162"/>
      </rPr>
      <t>Nexgen</t>
    </r>
  </si>
  <si>
    <r>
      <t xml:space="preserve">Babacanlar Kargo </t>
    </r>
    <r>
      <rPr>
        <b/>
        <sz val="14"/>
        <color rgb="FFFF0000"/>
        <rFont val="Helvetica Neue (Gövde)"/>
        <charset val="162"/>
      </rPr>
      <t>Nexgen</t>
    </r>
  </si>
  <si>
    <r>
      <t xml:space="preserve">Red Lojistik.            </t>
    </r>
    <r>
      <rPr>
        <b/>
        <sz val="14"/>
        <color rgb="FFFF0000"/>
        <rFont val="Helvetica Neue (Gövde)"/>
        <charset val="162"/>
      </rPr>
      <t>Nexgen</t>
    </r>
  </si>
  <si>
    <r>
      <rPr>
        <b/>
        <sz val="14"/>
        <color rgb="FFFF0000"/>
        <rFont val="Helvetica Neue (Gövde)"/>
        <charset val="162"/>
      </rPr>
      <t>Pera AS</t>
    </r>
    <r>
      <rPr>
        <b/>
        <sz val="14"/>
        <rFont val="Helvetica Neue"/>
        <family val="2"/>
        <charset val="162"/>
        <scheme val="minor"/>
      </rPr>
      <t xml:space="preserve"> Evrak islemleri </t>
    </r>
  </si>
  <si>
    <t>Sayaci Gazi</t>
  </si>
  <si>
    <t xml:space="preserve">Erhan fethi atlar avans </t>
  </si>
  <si>
    <t>Arabulucu</t>
  </si>
  <si>
    <t xml:space="preserve">Sukran dusunmez </t>
  </si>
  <si>
    <r>
      <t xml:space="preserve">SGK </t>
    </r>
    <r>
      <rPr>
        <b/>
        <sz val="14"/>
        <color rgb="FFFF0000"/>
        <rFont val="Helvetica Neue (Gövde)"/>
        <charset val="162"/>
      </rPr>
      <t>Nexgen</t>
    </r>
  </si>
  <si>
    <r>
      <t xml:space="preserve">KDV 2 </t>
    </r>
    <r>
      <rPr>
        <b/>
        <sz val="14"/>
        <color rgb="FFFF0000"/>
        <rFont val="Helvetica Neue (Gövde)"/>
        <charset val="162"/>
      </rPr>
      <t>Nexgen</t>
    </r>
  </si>
  <si>
    <t>Erdogan Toka</t>
  </si>
  <si>
    <r>
      <t xml:space="preserve">Genel stopaj </t>
    </r>
    <r>
      <rPr>
        <b/>
        <sz val="14"/>
        <color rgb="FFFF0000"/>
        <rFont val="Helvetica Neue (Gövde)"/>
        <charset val="162"/>
      </rPr>
      <t>Nexgen</t>
    </r>
  </si>
  <si>
    <r>
      <t xml:space="preserve">Muhtasar </t>
    </r>
    <r>
      <rPr>
        <b/>
        <sz val="14"/>
        <color rgb="FFFF0000"/>
        <rFont val="Helvetica Neue (Gövde)"/>
        <charset val="162"/>
      </rPr>
      <t>Sahin Taban</t>
    </r>
  </si>
  <si>
    <t xml:space="preserve">Sgk </t>
  </si>
  <si>
    <r>
      <t xml:space="preserve">Sgk </t>
    </r>
    <r>
      <rPr>
        <b/>
        <sz val="14"/>
        <color rgb="FFFF0000"/>
        <rFont val="Helvetica Neue (Gövde)"/>
        <charset val="162"/>
      </rPr>
      <t>Sahin taban</t>
    </r>
  </si>
  <si>
    <r>
      <t xml:space="preserve">KDV1 </t>
    </r>
    <r>
      <rPr>
        <b/>
        <sz val="14"/>
        <color rgb="FFFF0000"/>
        <rFont val="Helvetica Neue (Gövde)"/>
        <charset val="162"/>
      </rPr>
      <t>Nexgen</t>
    </r>
  </si>
  <si>
    <t>Sinan ates</t>
  </si>
  <si>
    <r>
      <rPr>
        <b/>
        <sz val="14"/>
        <color theme="4" tint="-0.499984740745262"/>
        <rFont val="Helvetica Neue (Gövde)"/>
        <charset val="162"/>
      </rPr>
      <t>Pera</t>
    </r>
    <r>
      <rPr>
        <b/>
        <sz val="14"/>
        <rFont val="Helvetica Neue"/>
        <family val="2"/>
        <charset val="162"/>
        <scheme val="minor"/>
      </rPr>
      <t xml:space="preserve"> Terlik sgk tahakkuk</t>
    </r>
  </si>
  <si>
    <t xml:space="preserve">Cenk ozgen malzeme alimi </t>
  </si>
  <si>
    <t>Avans</t>
  </si>
  <si>
    <t xml:space="preserve">Cenk ozgen </t>
  </si>
  <si>
    <t>Dogan Cihan</t>
  </si>
  <si>
    <t>Kuveytturk Nexgen</t>
  </si>
  <si>
    <t>bilir gumguk</t>
  </si>
  <si>
    <t>Lcw Gelen odeme</t>
  </si>
  <si>
    <t>bilir gumguk ithalat beyannamesi</t>
  </si>
  <si>
    <t xml:space="preserve">Pdl yag Nexgen Kimya </t>
  </si>
  <si>
    <t>Burhan SAYACI</t>
  </si>
  <si>
    <t>sahis</t>
  </si>
  <si>
    <t xml:space="preserve">adem terzi ziraat kart </t>
  </si>
  <si>
    <t>Sondurum Kasa</t>
  </si>
  <si>
    <t>Kredi Karti</t>
  </si>
  <si>
    <t>Nexgen Kuveytturk Kart</t>
  </si>
  <si>
    <t>EO Kredi</t>
  </si>
  <si>
    <t>Omer aksu violet Cekten verilen soz</t>
  </si>
  <si>
    <t xml:space="preserve">Sevgi terzi </t>
  </si>
  <si>
    <t xml:space="preserve">Umit terzi </t>
  </si>
  <si>
    <t>Denizbank  Sahin taban</t>
  </si>
  <si>
    <t>Kuveyturk  Nexgen</t>
  </si>
  <si>
    <t>Sahin Nexgen Pera</t>
  </si>
  <si>
    <t>Dbs</t>
  </si>
  <si>
    <t>Sahin taban Pera tazmina odemeleri</t>
  </si>
  <si>
    <t>Sevgi terzi kart</t>
  </si>
  <si>
    <t>Lcw Gelen Odeme</t>
  </si>
  <si>
    <t>Kasa Toplam</t>
  </si>
  <si>
    <t xml:space="preserve">Finansbank Nexgen </t>
  </si>
  <si>
    <t>Vakif Katilim Sahin taban</t>
  </si>
  <si>
    <t xml:space="preserve">Cek </t>
  </si>
  <si>
    <t xml:space="preserve">Sahin Taban Finansbank </t>
  </si>
  <si>
    <t>Belediye</t>
  </si>
  <si>
    <t>Nexgen Cevre izinleri Hava Emisyon</t>
  </si>
  <si>
    <t>Altan Terzi Kart 230 Muhtasar 480 Sgk</t>
  </si>
  <si>
    <t>Nexgen Mazaga Kira 2 ve 3 Ay</t>
  </si>
  <si>
    <t>Ahmet Kozan Gelen odeme</t>
  </si>
  <si>
    <t xml:space="preserve">Fabrika </t>
  </si>
  <si>
    <t>Elektrik odeme fabrika</t>
  </si>
  <si>
    <t>Kalip desen icin gayri resmi</t>
  </si>
  <si>
    <t xml:space="preserve">Aymood Fuar </t>
  </si>
  <si>
    <t xml:space="preserve">SMT </t>
  </si>
  <si>
    <t>Zeytas Elektrik</t>
  </si>
  <si>
    <t xml:space="preserve">  </t>
  </si>
  <si>
    <t xml:space="preserve">Mehmet Deniz Nakliye </t>
  </si>
  <si>
    <t xml:space="preserve">Omer celik Yemek alinmis </t>
  </si>
  <si>
    <t>Fuar</t>
  </si>
  <si>
    <t xml:space="preserve">Garda Fuar Odemesi </t>
  </si>
  <si>
    <t>6057 Euro Karsiligi</t>
  </si>
  <si>
    <t xml:space="preserve">Ktl </t>
  </si>
  <si>
    <t>4386$ Karsiligi</t>
  </si>
  <si>
    <t xml:space="preserve">Adem TERZI </t>
  </si>
  <si>
    <t>Pakie Sbs odeme %30</t>
  </si>
  <si>
    <t>3500$ Karsiligi</t>
  </si>
  <si>
    <t>200000 TL Cek Agustos Ay sonu Verilcek</t>
  </si>
  <si>
    <t>Dizayn Etiket</t>
  </si>
  <si>
    <t xml:space="preserve">Kuveytturk Nexgen </t>
  </si>
  <si>
    <t xml:space="preserve">Metin abi </t>
  </si>
  <si>
    <t>Finansbank Sahin Taban</t>
  </si>
  <si>
    <t>Nexgen Finansbank</t>
  </si>
  <si>
    <t>Asgari Yatirdik n toplam borc 494000 Tl</t>
  </si>
  <si>
    <t>toplam borc 978000</t>
  </si>
  <si>
    <t xml:space="preserve">Nebi Tecer Kmh </t>
  </si>
  <si>
    <t xml:space="preserve">Sinan Ates </t>
  </si>
  <si>
    <t>Sayaci GAZI</t>
  </si>
  <si>
    <t>Kuveytturk Nexgen Kredi</t>
  </si>
  <si>
    <t xml:space="preserve">Tazminat Taner yildiz </t>
  </si>
  <si>
    <t>Rainbow etiket</t>
  </si>
  <si>
    <t xml:space="preserve">10000 $ Dolar Karsiligi </t>
  </si>
  <si>
    <t>Kdv 2 Nexgen Kimya</t>
  </si>
  <si>
    <t xml:space="preserve">Nexgen Muhtasar </t>
  </si>
  <si>
    <t>Nexgen Sgk</t>
  </si>
  <si>
    <t xml:space="preserve">Pera muhtasar </t>
  </si>
  <si>
    <t>Pera sgk</t>
  </si>
  <si>
    <t xml:space="preserve"> 162000 TL BAKIYESI 120000 tl yaptim </t>
  </si>
  <si>
    <t xml:space="preserve">Saya otomat Odemesi </t>
  </si>
  <si>
    <t xml:space="preserve">Saim Ege Sahin Taban </t>
  </si>
  <si>
    <t>Twigy Gelen Odeme</t>
  </si>
  <si>
    <t>Avel Nexgen Elektrik</t>
  </si>
  <si>
    <t>Toplam Fatura 248.901,23 tl 220.741,38 Bes te eksik Kalan tutar bu</t>
  </si>
  <si>
    <t>Kalan Hesabi 50000 TL dir</t>
  </si>
  <si>
    <t xml:space="preserve">Hesap Mutabakati yapilcak tekrar bize gore 39900 tl </t>
  </si>
  <si>
    <t xml:space="preserve">Flo Gelen Odeme </t>
  </si>
  <si>
    <t>Civil Gelen Odeme</t>
  </si>
  <si>
    <t xml:space="preserve">Sahin taban Kuveytturk </t>
  </si>
  <si>
    <t xml:space="preserve">Kaan Stand Odemesi </t>
  </si>
  <si>
    <t xml:space="preserve">Muhtasar Tahakkuk </t>
  </si>
  <si>
    <t xml:space="preserve"> Sahin taban Skg</t>
  </si>
  <si>
    <t>Pakie Sbs odeme Kalan Odeme</t>
  </si>
  <si>
    <t>4400 $ Dolar Karsiligi</t>
  </si>
  <si>
    <t>Cevre izinleri Hava Emisyonu</t>
  </si>
  <si>
    <t xml:space="preserve">Selcuk Ticaret </t>
  </si>
  <si>
    <t xml:space="preserve">Faruk Klise </t>
  </si>
  <si>
    <t>Nexgen Kuveytturk Kredi</t>
  </si>
  <si>
    <t>Cin garanti bonus odemesi</t>
  </si>
  <si>
    <t xml:space="preserve">   %50 deposito odendi 3033.50 euro</t>
  </si>
  <si>
    <t>Crn Lojistik Nexgen Kimya</t>
  </si>
  <si>
    <t xml:space="preserve">Efsun akyuz tazminat sahin </t>
  </si>
  <si>
    <t xml:space="preserve">Recai Eroglu Pera dan odenecek </t>
  </si>
  <si>
    <t xml:space="preserve">Dogan cihan Pera dan odencek </t>
  </si>
  <si>
    <t>Kalan Maas odemesi Sahin taban</t>
  </si>
  <si>
    <t>Nexgen PDL</t>
  </si>
  <si>
    <t>Sahin Taban</t>
  </si>
  <si>
    <t>Guney Rulman</t>
  </si>
  <si>
    <t>Nexgen Kimya San ve Tic.Ltd.Sti</t>
  </si>
  <si>
    <t>FTS Fuarcilik sanat etkinlikleri</t>
  </si>
  <si>
    <t>YON Ayakkabi Malzemeleri</t>
  </si>
  <si>
    <t>31.11.2026</t>
  </si>
  <si>
    <t>0381259</t>
  </si>
  <si>
    <t>0381258</t>
  </si>
  <si>
    <t>0383263</t>
  </si>
  <si>
    <t>0383264</t>
  </si>
  <si>
    <t>0383257</t>
  </si>
  <si>
    <t>0383267</t>
  </si>
  <si>
    <t>0383262</t>
  </si>
  <si>
    <t>Pera A.s</t>
  </si>
  <si>
    <t>Devre Sonu</t>
  </si>
  <si>
    <t>Nexgen Kimya Finansbank</t>
  </si>
  <si>
    <t>Burcin terzi</t>
  </si>
  <si>
    <t>Ali riza Guclu Makina</t>
  </si>
  <si>
    <t>Saray madencilik su faturasi</t>
  </si>
  <si>
    <t>Melos Nexgen icin hammade alimi</t>
  </si>
  <si>
    <t>Kubilay Gurbuz</t>
  </si>
  <si>
    <t>Yag alimi icin cine yapilcak odeme</t>
  </si>
  <si>
    <t xml:space="preserve">Kuveyturk Nexgen </t>
  </si>
  <si>
    <t xml:space="preserve">Not 16609$ Karsiligi Odeme yapilcak </t>
  </si>
  <si>
    <t xml:space="preserve">Nexgen Kuveyturk </t>
  </si>
  <si>
    <t>Sahin taban Denizbank</t>
  </si>
  <si>
    <t>Altan Terzi Garanti Sgk</t>
  </si>
  <si>
    <t>34 BPY 282 Plaka Noter</t>
  </si>
  <si>
    <t>34 BPY 282 Plaka Soforler odasi</t>
  </si>
  <si>
    <t>Sanayi Odasi</t>
  </si>
  <si>
    <t>Eva Personel Prim</t>
  </si>
  <si>
    <t>Personel Avans</t>
  </si>
  <si>
    <t>Masraf</t>
  </si>
  <si>
    <t>Altarnatif Kimya tpo holment 100m</t>
  </si>
  <si>
    <t>Meram Dar dokuma</t>
  </si>
  <si>
    <t>CEK</t>
  </si>
  <si>
    <t>Sahin Taban Cek odemelerimiz</t>
  </si>
  <si>
    <t>Vize icin turgay Vatansever</t>
  </si>
  <si>
    <t>1 ay mastan kalan</t>
  </si>
  <si>
    <t xml:space="preserve">Kuveytturk Altan Kart Sgk </t>
  </si>
  <si>
    <t>Sevgi terzi</t>
  </si>
  <si>
    <t xml:space="preserve">Metin tuncer </t>
  </si>
  <si>
    <t xml:space="preserve">Star conteyner </t>
  </si>
  <si>
    <t>kmh</t>
  </si>
  <si>
    <t xml:space="preserve">nebi tecer alindi </t>
  </si>
  <si>
    <t>LCW gelen odeme</t>
  </si>
  <si>
    <t>Most Event turizm</t>
  </si>
  <si>
    <t>Arabulcuk hizmeti ulku cetok</t>
  </si>
  <si>
    <t xml:space="preserve">Muhasebe Resul Bey Avans talebi </t>
  </si>
  <si>
    <t xml:space="preserve">Devlet </t>
  </si>
  <si>
    <t xml:space="preserve">imzsa sulkusu sahin taban </t>
  </si>
  <si>
    <t xml:space="preserve">Ithalat Beyhannamesi </t>
  </si>
  <si>
    <t>Sahin Taban Elden</t>
  </si>
  <si>
    <t xml:space="preserve">Sahin Taban Banka </t>
  </si>
  <si>
    <t>Nexgen Banka</t>
  </si>
  <si>
    <t>Nexgen Elden</t>
  </si>
  <si>
    <t>Pera A.S Banka</t>
  </si>
  <si>
    <t>Pera A.S Elden</t>
  </si>
  <si>
    <t>Tazminat</t>
  </si>
  <si>
    <t>Dogan Cihan. Son Taksit</t>
  </si>
  <si>
    <t>Taner Deniz.  Son Taksit</t>
  </si>
  <si>
    <t xml:space="preserve">Family Cevre Sahin , Nexgen </t>
  </si>
  <si>
    <t xml:space="preserve">Saya OTOMAT </t>
  </si>
  <si>
    <t>Isbank Kredi karti altan</t>
  </si>
  <si>
    <t>Nexgen Kimya Elektrik</t>
  </si>
  <si>
    <t xml:space="preserve">Sahin Taban Elektrik </t>
  </si>
  <si>
    <t>Aymet makina</t>
  </si>
  <si>
    <t>Pera baca icin yapilan odeme</t>
  </si>
  <si>
    <t>Erhan Fethi atlar</t>
  </si>
  <si>
    <t>Flo Gelen odeme</t>
  </si>
  <si>
    <t>Kismet ticaret</t>
  </si>
  <si>
    <r>
      <t>Cari Odeme</t>
    </r>
    <r>
      <rPr>
        <b/>
        <sz val="14"/>
        <color theme="1"/>
        <rFont val="Helvetica Neue (Gövde)"/>
        <charset val="162"/>
      </rPr>
      <t xml:space="preserve"> </t>
    </r>
  </si>
  <si>
    <t>Polimer Ambalaj</t>
  </si>
  <si>
    <t>Nexgen Nakliye</t>
  </si>
  <si>
    <t>Ahmet KOZAN ESEM</t>
  </si>
  <si>
    <t>Nakliye Mesut Keskin rafet aydin</t>
  </si>
  <si>
    <t xml:space="preserve">Modelci Ahmet </t>
  </si>
  <si>
    <t xml:space="preserve">Dmt Lc </t>
  </si>
  <si>
    <t>Maastan Kalan Banka</t>
  </si>
  <si>
    <t>Maastan Kalan Elden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</si>
</sst>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&quot; &quot;* #,##0.00&quot; ₺ &quot;;&quot;-&quot;* #,##0.00&quot; ₺ &quot;;&quot; &quot;* &quot;-&quot;??&quot; ₺ &quot;"/>
    <numFmt numFmtId="165" formatCode="&quot;₺&quot;#,##0.00"/>
    <numFmt numFmtId="166" formatCode="#,##0.00&quot; &quot;[$CAD]"/>
    <numFmt numFmtId="167" formatCode="&quot; ₺&quot;* #,##0.00&quot; &quot;;&quot;-₺&quot;* #,##0.00&quot; &quot;;&quot; ₺&quot;* &quot;-&quot;??&quot; &quot;"/>
    <numFmt numFmtId="168" formatCode="[$$-409]#,##0"/>
    <numFmt numFmtId="169" formatCode="_-[$$-409]* #,##0.00_ ;_-[$$-409]* \-#,##0.00\ ;_-[$$-409]* &quot;-&quot;??_ ;_-@_ "/>
    <numFmt numFmtId="170" formatCode="_-* #,##0.00\ _T_L_-;\-* #,##0.00\ _T_L_-;_-* &quot;-&quot;??\ _T_L_-;_-@_-"/>
    <numFmt numFmtId="171" formatCode="_-* #,##0\ _T_L_-;\-* #,##0\ _T_L_-;_-* &quot;-&quot;??\ _T_L_-;_-@_-"/>
    <numFmt numFmtId="172" formatCode="#,##0.0\ &quot;₺&quot;"/>
    <numFmt numFmtId="173" formatCode="#,##0.0;[Red]#,##0.0"/>
    <numFmt numFmtId="174" formatCode="&quot;₺&quot;#,##0.0"/>
  </numFmts>
  <fonts count="56">
    <font>
      <sz val="11"/>
      <color indexed="8"/>
      <name val="Calibri"/>
    </font>
    <font>
      <sz val="11"/>
      <color theme="1"/>
      <name val="Helvetica Neue"/>
      <family val="2"/>
      <charset val="16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8"/>
      <color indexed="8"/>
      <name val="Calibri"/>
      <family val="2"/>
      <charset val="162"/>
    </font>
    <font>
      <sz val="11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8"/>
      <name val="Calibri"/>
      <family val="2"/>
      <charset val="162"/>
    </font>
    <font>
      <sz val="8"/>
      <name val="Calibri"/>
      <family val="2"/>
      <charset val="162"/>
    </font>
    <font>
      <b/>
      <sz val="18"/>
      <color indexed="8"/>
      <name val="Calibri"/>
      <family val="2"/>
    </font>
    <font>
      <b/>
      <sz val="11"/>
      <color theme="0"/>
      <name val="Helvetica Neue"/>
      <family val="2"/>
      <charset val="162"/>
      <scheme val="minor"/>
    </font>
    <font>
      <b/>
      <sz val="11"/>
      <color theme="1"/>
      <name val="Helvetica Neue"/>
      <family val="2"/>
      <charset val="162"/>
      <scheme val="minor"/>
    </font>
    <font>
      <sz val="10"/>
      <name val="Arial Tur"/>
      <charset val="162"/>
    </font>
    <font>
      <b/>
      <sz val="12"/>
      <color theme="0"/>
      <name val="Helvetica Neue"/>
      <family val="2"/>
      <charset val="162"/>
      <scheme val="minor"/>
    </font>
    <font>
      <b/>
      <sz val="12"/>
      <name val="Helvetica Neue"/>
      <family val="2"/>
      <charset val="162"/>
      <scheme val="minor"/>
    </font>
    <font>
      <b/>
      <sz val="12"/>
      <color rgb="FFC00000"/>
      <name val="Helvetica Neue"/>
      <family val="2"/>
      <charset val="162"/>
      <scheme val="minor"/>
    </font>
    <font>
      <b/>
      <sz val="18"/>
      <color rgb="FFC00000"/>
      <name val="Helvetica Neue"/>
      <family val="2"/>
      <charset val="162"/>
      <scheme val="minor"/>
    </font>
    <font>
      <b/>
      <sz val="11"/>
      <color rgb="FFC00000"/>
      <name val="Helvetica Neue"/>
      <family val="2"/>
      <charset val="162"/>
      <scheme val="minor"/>
    </font>
    <font>
      <b/>
      <sz val="12"/>
      <color rgb="FFC00000"/>
      <name val="Arial"/>
      <family val="2"/>
      <charset val="162"/>
    </font>
    <font>
      <sz val="20"/>
      <color theme="1"/>
      <name val="Helvetica Neue"/>
      <family val="2"/>
      <charset val="162"/>
      <scheme val="minor"/>
    </font>
    <font>
      <b/>
      <sz val="12"/>
      <color rgb="FFFF0000"/>
      <name val="Helvetica Neue"/>
      <family val="2"/>
      <charset val="162"/>
      <scheme val="minor"/>
    </font>
    <font>
      <b/>
      <sz val="11"/>
      <color theme="1"/>
      <name val="Helvetica Neue"/>
      <family val="2"/>
      <scheme val="minor"/>
    </font>
    <font>
      <sz val="8"/>
      <color theme="1"/>
      <name val="Tahoma"/>
      <family val="2"/>
      <charset val="162"/>
    </font>
    <font>
      <b/>
      <sz val="11"/>
      <color theme="1"/>
      <name val="Tahoma"/>
      <family val="2"/>
      <charset val="162"/>
    </font>
    <font>
      <b/>
      <sz val="8"/>
      <color theme="1"/>
      <name val="Tahoma"/>
      <family val="2"/>
      <charset val="162"/>
    </font>
    <font>
      <b/>
      <sz val="14"/>
      <color theme="0"/>
      <name val="Helvetica Neue"/>
      <family val="2"/>
      <charset val="162"/>
      <scheme val="minor"/>
    </font>
    <font>
      <b/>
      <sz val="14"/>
      <color theme="1"/>
      <name val="Helvetica Neue"/>
      <family val="2"/>
      <scheme val="minor"/>
    </font>
    <font>
      <b/>
      <sz val="14"/>
      <color rgb="FFC00000"/>
      <name val="Helvetica Neue"/>
      <family val="2"/>
      <charset val="162"/>
      <scheme val="minor"/>
    </font>
    <font>
      <b/>
      <sz val="14"/>
      <name val="Helvetica Neue"/>
      <family val="2"/>
      <charset val="162"/>
      <scheme val="minor"/>
    </font>
    <font>
      <b/>
      <sz val="14"/>
      <color rgb="FFFF0000"/>
      <name val="Helvetica Neue"/>
      <family val="2"/>
      <scheme val="minor"/>
    </font>
    <font>
      <b/>
      <sz val="14"/>
      <color theme="1"/>
      <name val="Helvetica Neue (Gövde)"/>
      <charset val="162"/>
    </font>
    <font>
      <b/>
      <sz val="14"/>
      <name val="Helvetica Neue"/>
      <family val="2"/>
      <scheme val="minor"/>
    </font>
    <font>
      <b/>
      <sz val="14"/>
      <color rgb="FFC00000"/>
      <name val="Arial"/>
      <family val="2"/>
      <charset val="162"/>
    </font>
    <font>
      <sz val="14"/>
      <color theme="1"/>
      <name val="Helvetica Neue"/>
      <family val="2"/>
      <charset val="162"/>
      <scheme val="minor"/>
    </font>
    <font>
      <b/>
      <sz val="14"/>
      <color rgb="FFFF0000"/>
      <name val="Helvetica Neue"/>
      <family val="2"/>
      <charset val="162"/>
      <scheme val="minor"/>
    </font>
    <font>
      <b/>
      <sz val="14"/>
      <color rgb="FFFF0000"/>
      <name val="Helvetica Neue (Gövde)"/>
      <charset val="162"/>
    </font>
    <font>
      <b/>
      <sz val="14"/>
      <color rgb="FFC00000"/>
      <name val="Helvetica Neue"/>
      <family val="2"/>
      <scheme val="minor"/>
    </font>
    <font>
      <b/>
      <sz val="14"/>
      <color theme="1"/>
      <name val="Helvetica Neue"/>
      <family val="2"/>
      <charset val="162"/>
      <scheme val="minor"/>
    </font>
    <font>
      <sz val="14"/>
      <color rgb="FFFF0000"/>
      <name val="Helvetica Neue"/>
      <family val="2"/>
      <charset val="162"/>
      <scheme val="minor"/>
    </font>
    <font>
      <sz val="16"/>
      <color indexed="8"/>
      <name val="Calibri"/>
      <family val="2"/>
      <charset val="162"/>
    </font>
    <font>
      <b/>
      <sz val="14"/>
      <color theme="4" tint="-0.499984740745262"/>
      <name val="Helvetica Neue (Gövde)"/>
      <charset val="162"/>
    </font>
    <font>
      <sz val="11"/>
      <color rgb="FF000000"/>
      <name val="Helvetica Neue"/>
      <family val="2"/>
      <charset val="162"/>
    </font>
    <font>
      <b/>
      <sz val="14"/>
      <color theme="0"/>
      <name val="Helvetica Neue (Gövde)"/>
      <charset val="162"/>
    </font>
    <font>
      <b/>
      <sz val="14"/>
      <name val="Helvetica Neue (Gövde)"/>
      <charset val="162"/>
    </font>
    <font>
      <b/>
      <sz val="14"/>
      <color rgb="FFC00000"/>
      <name val="Helvetica Neue (Gövde)"/>
      <charset val="162"/>
    </font>
    <font>
      <sz val="14"/>
      <color rgb="FF000000"/>
      <name val="Helvetica Neue (Gövde)"/>
      <charset val="162"/>
    </font>
    <font>
      <sz val="14"/>
      <color theme="1"/>
      <name val="Helvetica Neue (Gövde)"/>
      <charset val="162"/>
    </font>
    <font>
      <sz val="14"/>
      <color rgb="FF000000"/>
      <name val="Helvetica Neue"/>
      <family val="2"/>
      <charset val="162"/>
    </font>
    <font>
      <sz val="14"/>
      <name val="Helvetica Neue"/>
      <family val="2"/>
      <charset val="16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rgb="FFEFEDF8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Fill="0" applyBorder="0" applyProtection="0"/>
    <xf numFmtId="44" fontId="8" fillId="0" borderId="0" applyFont="0" applyFill="0" applyBorder="0" applyAlignment="0" applyProtection="0"/>
    <xf numFmtId="0" fontId="19" fillId="0" borderId="12"/>
    <xf numFmtId="170" fontId="19" fillId="0" borderId="12" applyFont="0" applyFill="0" applyBorder="0" applyAlignment="0" applyProtection="0"/>
    <xf numFmtId="0" fontId="1" fillId="0" borderId="12"/>
  </cellStyleXfs>
  <cellXfs count="543">
    <xf numFmtId="0" fontId="0" fillId="0" borderId="0" xfId="0"/>
    <xf numFmtId="0" fontId="0" fillId="0" borderId="0" xfId="0" applyNumberFormat="1"/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horizontal="right" vertical="center"/>
    </xf>
    <xf numFmtId="49" fontId="0" fillId="3" borderId="5" xfId="0" applyNumberFormat="1" applyFill="1" applyBorder="1"/>
    <xf numFmtId="14" fontId="0" fillId="3" borderId="1" xfId="0" applyNumberFormat="1" applyFill="1" applyBorder="1"/>
    <xf numFmtId="49" fontId="0" fillId="3" borderId="1" xfId="0" applyNumberForma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/>
    <xf numFmtId="164" fontId="2" fillId="3" borderId="1" xfId="0" applyNumberFormat="1" applyFont="1" applyFill="1" applyBorder="1" applyAlignment="1">
      <alignment wrapText="1"/>
    </xf>
    <xf numFmtId="165" fontId="0" fillId="3" borderId="1" xfId="0" applyNumberFormat="1" applyFill="1" applyBorder="1" applyAlignment="1">
      <alignment wrapText="1"/>
    </xf>
    <xf numFmtId="164" fontId="0" fillId="3" borderId="1" xfId="0" applyNumberFormat="1" applyFill="1" applyBorder="1"/>
    <xf numFmtId="0" fontId="0" fillId="3" borderId="6" xfId="0" applyFill="1" applyBorder="1"/>
    <xf numFmtId="14" fontId="0" fillId="4" borderId="1" xfId="0" applyNumberFormat="1" applyFill="1" applyBorder="1"/>
    <xf numFmtId="49" fontId="0" fillId="4" borderId="1" xfId="0" applyNumberFormat="1" applyFill="1" applyBorder="1"/>
    <xf numFmtId="49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/>
    <xf numFmtId="164" fontId="2" fillId="4" borderId="1" xfId="0" applyNumberFormat="1" applyFont="1" applyFill="1" applyBorder="1" applyAlignment="1">
      <alignment wrapText="1"/>
    </xf>
    <xf numFmtId="165" fontId="0" fillId="4" borderId="1" xfId="0" applyNumberFormat="1" applyFill="1" applyBorder="1" applyAlignment="1">
      <alignment wrapText="1"/>
    </xf>
    <xf numFmtId="164" fontId="0" fillId="4" borderId="1" xfId="0" applyNumberFormat="1" applyFill="1" applyBorder="1"/>
    <xf numFmtId="0" fontId="0" fillId="3" borderId="5" xfId="0" applyFill="1" applyBorder="1"/>
    <xf numFmtId="164" fontId="3" fillId="5" borderId="12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64" fontId="0" fillId="3" borderId="5" xfId="0" applyNumberFormat="1" applyFill="1" applyBorder="1"/>
    <xf numFmtId="0" fontId="0" fillId="0" borderId="4" xfId="0" applyBorder="1"/>
    <xf numFmtId="0" fontId="0" fillId="0" borderId="5" xfId="0" applyBorder="1"/>
    <xf numFmtId="49" fontId="6" fillId="3" borderId="4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4" xfId="0" applyBorder="1"/>
    <xf numFmtId="49" fontId="0" fillId="0" borderId="7" xfId="0" applyNumberFormat="1" applyBorder="1"/>
    <xf numFmtId="14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0" fontId="0" fillId="0" borderId="5" xfId="0" applyNumberFormat="1" applyBorder="1"/>
    <xf numFmtId="164" fontId="6" fillId="0" borderId="7" xfId="0" applyNumberFormat="1" applyFont="1" applyBorder="1" applyAlignment="1">
      <alignment horizontal="right"/>
    </xf>
    <xf numFmtId="49" fontId="0" fillId="0" borderId="5" xfId="0" applyNumberFormat="1" applyBorder="1"/>
    <xf numFmtId="14" fontId="0" fillId="0" borderId="5" xfId="0" applyNumberFormat="1" applyBorder="1"/>
    <xf numFmtId="164" fontId="0" fillId="0" borderId="5" xfId="0" applyNumberFormat="1" applyBorder="1"/>
    <xf numFmtId="164" fontId="6" fillId="0" borderId="5" xfId="0" applyNumberFormat="1" applyFont="1" applyBorder="1" applyAlignment="1">
      <alignment horizontal="right"/>
    </xf>
    <xf numFmtId="167" fontId="0" fillId="0" borderId="5" xfId="0" applyNumberFormat="1" applyBorder="1"/>
    <xf numFmtId="0" fontId="0" fillId="0" borderId="16" xfId="0" applyBorder="1" applyAlignment="1">
      <alignment horizontal="center"/>
    </xf>
    <xf numFmtId="49" fontId="6" fillId="7" borderId="19" xfId="0" applyNumberFormat="1" applyFont="1" applyFill="1" applyBorder="1" applyAlignment="1">
      <alignment horizontal="center" vertical="center"/>
    </xf>
    <xf numFmtId="49" fontId="6" fillId="7" borderId="12" xfId="0" applyNumberFormat="1" applyFont="1" applyFill="1" applyBorder="1" applyAlignment="1">
      <alignment horizontal="center" vertical="center"/>
    </xf>
    <xf numFmtId="49" fontId="6" fillId="8" borderId="12" xfId="0" applyNumberFormat="1" applyFont="1" applyFill="1" applyBorder="1" applyAlignment="1">
      <alignment horizontal="center" vertical="center"/>
    </xf>
    <xf numFmtId="0" fontId="0" fillId="0" borderId="8" xfId="0" applyBorder="1"/>
    <xf numFmtId="49" fontId="0" fillId="0" borderId="17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165" fontId="6" fillId="9" borderId="12" xfId="0" applyNumberFormat="1" applyFont="1" applyFill="1" applyBorder="1" applyAlignment="1">
      <alignment horizontal="center"/>
    </xf>
    <xf numFmtId="165" fontId="6" fillId="5" borderId="12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vertic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49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9" fontId="0" fillId="10" borderId="21" xfId="0" applyNumberFormat="1" applyFill="1" applyBorder="1"/>
    <xf numFmtId="49" fontId="0" fillId="10" borderId="22" xfId="0" applyNumberFormat="1" applyFill="1" applyBorder="1"/>
    <xf numFmtId="49" fontId="0" fillId="0" borderId="17" xfId="0" applyNumberFormat="1" applyBorder="1"/>
    <xf numFmtId="0" fontId="0" fillId="0" borderId="17" xfId="0" applyNumberFormat="1" applyBorder="1"/>
    <xf numFmtId="167" fontId="0" fillId="0" borderId="17" xfId="0" applyNumberFormat="1" applyBorder="1"/>
    <xf numFmtId="17" fontId="0" fillId="0" borderId="5" xfId="0" applyNumberFormat="1" applyBorder="1"/>
    <xf numFmtId="167" fontId="0" fillId="0" borderId="16" xfId="0" applyNumberFormat="1" applyBorder="1"/>
    <xf numFmtId="49" fontId="0" fillId="0" borderId="16" xfId="0" applyNumberFormat="1" applyBorder="1"/>
    <xf numFmtId="0" fontId="0" fillId="0" borderId="18" xfId="0" applyNumberFormat="1" applyBorder="1"/>
    <xf numFmtId="167" fontId="0" fillId="5" borderId="12" xfId="0" applyNumberFormat="1" applyFill="1" applyBorder="1"/>
    <xf numFmtId="49" fontId="0" fillId="5" borderId="12" xfId="0" applyNumberFormat="1" applyFill="1" applyBorder="1"/>
    <xf numFmtId="167" fontId="0" fillId="0" borderId="23" xfId="0" applyNumberFormat="1" applyBorder="1"/>
    <xf numFmtId="167" fontId="0" fillId="2" borderId="12" xfId="0" applyNumberFormat="1" applyFill="1" applyBorder="1"/>
    <xf numFmtId="49" fontId="0" fillId="2" borderId="12" xfId="0" applyNumberFormat="1" applyFill="1" applyBorder="1"/>
    <xf numFmtId="0" fontId="0" fillId="0" borderId="16" xfId="0" applyBorder="1"/>
    <xf numFmtId="167" fontId="0" fillId="0" borderId="19" xfId="0" applyNumberFormat="1" applyBorder="1"/>
    <xf numFmtId="167" fontId="0" fillId="0" borderId="24" xfId="0" applyNumberFormat="1" applyBorder="1"/>
    <xf numFmtId="0" fontId="0" fillId="0" borderId="18" xfId="0" applyBorder="1"/>
    <xf numFmtId="49" fontId="0" fillId="0" borderId="8" xfId="0" applyNumberFormat="1" applyBorder="1"/>
    <xf numFmtId="167" fontId="0" fillId="0" borderId="8" xfId="0" applyNumberFormat="1" applyBorder="1"/>
    <xf numFmtId="0" fontId="0" fillId="0" borderId="17" xfId="0" applyBorder="1"/>
    <xf numFmtId="0" fontId="0" fillId="3" borderId="20" xfId="0" applyFill="1" applyBorder="1"/>
    <xf numFmtId="168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" fontId="0" fillId="3" borderId="20" xfId="0" applyNumberFormat="1" applyFill="1" applyBorder="1"/>
    <xf numFmtId="49" fontId="0" fillId="0" borderId="13" xfId="0" applyNumberFormat="1" applyBorder="1"/>
    <xf numFmtId="49" fontId="0" fillId="0" borderId="6" xfId="0" applyNumberFormat="1" applyBorder="1"/>
    <xf numFmtId="1" fontId="0" fillId="3" borderId="6" xfId="0" applyNumberFormat="1" applyFill="1" applyBorder="1"/>
    <xf numFmtId="164" fontId="3" fillId="3" borderId="5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164" fontId="6" fillId="0" borderId="5" xfId="0" applyNumberFormat="1" applyFont="1" applyBorder="1"/>
    <xf numFmtId="49" fontId="0" fillId="8" borderId="1" xfId="0" applyNumberFormat="1" applyFill="1" applyBorder="1"/>
    <xf numFmtId="0" fontId="0" fillId="8" borderId="1" xfId="0" applyFill="1" applyBorder="1"/>
    <xf numFmtId="16" fontId="0" fillId="0" borderId="5" xfId="0" applyNumberFormat="1" applyBorder="1"/>
    <xf numFmtId="0" fontId="0" fillId="0" borderId="11" xfId="0" applyBorder="1"/>
    <xf numFmtId="164" fontId="0" fillId="0" borderId="11" xfId="0" applyNumberFormat="1" applyBorder="1"/>
    <xf numFmtId="49" fontId="7" fillId="4" borderId="1" xfId="0" applyNumberFormat="1" applyFont="1" applyFill="1" applyBorder="1"/>
    <xf numFmtId="0" fontId="7" fillId="11" borderId="0" xfId="0" applyNumberFormat="1" applyFont="1" applyFill="1"/>
    <xf numFmtId="14" fontId="0" fillId="3" borderId="25" xfId="0" applyNumberFormat="1" applyFill="1" applyBorder="1"/>
    <xf numFmtId="0" fontId="3" fillId="3" borderId="15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5" borderId="10" xfId="0" applyNumberFormat="1" applyFont="1" applyFill="1" applyBorder="1" applyAlignment="1">
      <alignment horizontal="right"/>
    </xf>
    <xf numFmtId="164" fontId="3" fillId="5" borderId="10" xfId="0" applyNumberFormat="1" applyFont="1" applyFill="1" applyBorder="1" applyAlignment="1">
      <alignment horizontal="center" wrapText="1"/>
    </xf>
    <xf numFmtId="14" fontId="7" fillId="11" borderId="27" xfId="0" applyNumberFormat="1" applyFont="1" applyFill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right" vertical="center"/>
    </xf>
    <xf numFmtId="0" fontId="3" fillId="2" borderId="27" xfId="0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center" vertical="center" wrapText="1"/>
    </xf>
    <xf numFmtId="165" fontId="3" fillId="2" borderId="27" xfId="0" applyNumberFormat="1" applyFont="1" applyFill="1" applyBorder="1" applyAlignment="1">
      <alignment horizontal="center" vertical="center" wrapText="1"/>
    </xf>
    <xf numFmtId="14" fontId="0" fillId="3" borderId="27" xfId="0" applyNumberFormat="1" applyFill="1" applyBorder="1"/>
    <xf numFmtId="49" fontId="0" fillId="3" borderId="27" xfId="0" applyNumberFormat="1" applyFill="1" applyBorder="1"/>
    <xf numFmtId="169" fontId="0" fillId="5" borderId="27" xfId="0" applyNumberFormat="1" applyFill="1" applyBorder="1"/>
    <xf numFmtId="169" fontId="2" fillId="3" borderId="27" xfId="0" applyNumberFormat="1" applyFont="1" applyFill="1" applyBorder="1" applyAlignment="1">
      <alignment horizontal="right"/>
    </xf>
    <xf numFmtId="164" fontId="2" fillId="3" borderId="27" xfId="0" applyNumberFormat="1" applyFont="1" applyFill="1" applyBorder="1" applyAlignment="1">
      <alignment horizontal="right"/>
    </xf>
    <xf numFmtId="166" fontId="0" fillId="3" borderId="27" xfId="0" applyNumberFormat="1" applyFill="1" applyBorder="1"/>
    <xf numFmtId="164" fontId="0" fillId="3" borderId="27" xfId="0" applyNumberFormat="1" applyFill="1" applyBorder="1"/>
    <xf numFmtId="0" fontId="0" fillId="3" borderId="27" xfId="0" applyFill="1" applyBorder="1"/>
    <xf numFmtId="169" fontId="0" fillId="3" borderId="27" xfId="0" applyNumberFormat="1" applyFill="1" applyBorder="1"/>
    <xf numFmtId="14" fontId="2" fillId="3" borderId="27" xfId="0" applyNumberFormat="1" applyFont="1" applyFill="1" applyBorder="1" applyAlignment="1">
      <alignment horizontal="center"/>
    </xf>
    <xf numFmtId="169" fontId="2" fillId="5" borderId="27" xfId="0" applyNumberFormat="1" applyFont="1" applyFill="1" applyBorder="1" applyAlignment="1">
      <alignment horizontal="right"/>
    </xf>
    <xf numFmtId="164" fontId="2" fillId="3" borderId="27" xfId="0" applyNumberFormat="1" applyFont="1" applyFill="1" applyBorder="1" applyAlignment="1">
      <alignment horizontal="right" wrapText="1"/>
    </xf>
    <xf numFmtId="166" fontId="2" fillId="3" borderId="27" xfId="0" applyNumberFormat="1" applyFont="1" applyFill="1" applyBorder="1" applyAlignment="1">
      <alignment horizontal="right"/>
    </xf>
    <xf numFmtId="169" fontId="7" fillId="3" borderId="27" xfId="0" applyNumberFormat="1" applyFont="1" applyFill="1" applyBorder="1"/>
    <xf numFmtId="14" fontId="7" fillId="3" borderId="27" xfId="0" applyNumberFormat="1" applyFont="1" applyFill="1" applyBorder="1"/>
    <xf numFmtId="169" fontId="0" fillId="0" borderId="27" xfId="0" applyNumberFormat="1" applyBorder="1"/>
    <xf numFmtId="0" fontId="0" fillId="3" borderId="27" xfId="0" applyFill="1" applyBorder="1" applyAlignment="1">
      <alignment wrapText="1"/>
    </xf>
    <xf numFmtId="0" fontId="2" fillId="3" borderId="27" xfId="0" applyFont="1" applyFill="1" applyBorder="1" applyAlignment="1">
      <alignment horizontal="center"/>
    </xf>
    <xf numFmtId="166" fontId="3" fillId="5" borderId="27" xfId="0" applyNumberFormat="1" applyFont="1" applyFill="1" applyBorder="1" applyAlignment="1">
      <alignment horizontal="right" vertical="center"/>
    </xf>
    <xf numFmtId="165" fontId="5" fillId="3" borderId="27" xfId="0" applyNumberFormat="1" applyFont="1" applyFill="1" applyBorder="1" applyAlignment="1">
      <alignment horizontal="center"/>
    </xf>
    <xf numFmtId="169" fontId="10" fillId="5" borderId="27" xfId="0" applyNumberFormat="1" applyFont="1" applyFill="1" applyBorder="1" applyAlignment="1">
      <alignment horizontal="right"/>
    </xf>
    <xf numFmtId="44" fontId="2" fillId="3" borderId="27" xfId="1" applyFont="1" applyFill="1" applyBorder="1" applyAlignment="1"/>
    <xf numFmtId="44" fontId="2" fillId="3" borderId="28" xfId="1" applyFont="1" applyFill="1" applyBorder="1" applyAlignment="1">
      <alignment horizontal="right"/>
    </xf>
    <xf numFmtId="49" fontId="2" fillId="3" borderId="27" xfId="0" applyNumberFormat="1" applyFont="1" applyFill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vertical="center"/>
    </xf>
    <xf numFmtId="44" fontId="0" fillId="0" borderId="0" xfId="1" applyFont="1"/>
    <xf numFmtId="14" fontId="0" fillId="0" borderId="0" xfId="0" applyNumberFormat="1"/>
    <xf numFmtId="0" fontId="12" fillId="0" borderId="0" xfId="0" applyNumberFormat="1" applyFont="1"/>
    <xf numFmtId="14" fontId="13" fillId="0" borderId="0" xfId="0" applyNumberFormat="1" applyFont="1"/>
    <xf numFmtId="0" fontId="13" fillId="0" borderId="0" xfId="0" applyNumberFormat="1" applyFont="1"/>
    <xf numFmtId="0" fontId="0" fillId="3" borderId="29" xfId="0" applyFill="1" applyBorder="1"/>
    <xf numFmtId="49" fontId="0" fillId="3" borderId="26" xfId="0" applyNumberFormat="1" applyFill="1" applyBorder="1"/>
    <xf numFmtId="169" fontId="10" fillId="5" borderId="29" xfId="0" applyNumberFormat="1" applyFont="1" applyFill="1" applyBorder="1" applyAlignment="1">
      <alignment horizontal="right"/>
    </xf>
    <xf numFmtId="165" fontId="3" fillId="3" borderId="29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0" fillId="0" borderId="12" xfId="0" applyNumberFormat="1" applyBorder="1"/>
    <xf numFmtId="0" fontId="0" fillId="3" borderId="12" xfId="0" applyFill="1" applyBorder="1" applyAlignment="1">
      <alignment wrapText="1"/>
    </xf>
    <xf numFmtId="0" fontId="0" fillId="3" borderId="12" xfId="0" applyFill="1" applyBorder="1"/>
    <xf numFmtId="0" fontId="2" fillId="3" borderId="12" xfId="0" applyFont="1" applyFill="1" applyBorder="1" applyAlignment="1">
      <alignment horizontal="center"/>
    </xf>
    <xf numFmtId="165" fontId="2" fillId="3" borderId="12" xfId="0" applyNumberFormat="1" applyFont="1" applyFill="1" applyBorder="1" applyAlignment="1">
      <alignment horizontal="right"/>
    </xf>
    <xf numFmtId="165" fontId="2" fillId="3" borderId="12" xfId="0" applyNumberFormat="1" applyFont="1" applyFill="1" applyBorder="1" applyAlignment="1">
      <alignment horizontal="center"/>
    </xf>
    <xf numFmtId="165" fontId="2" fillId="3" borderId="12" xfId="0" applyNumberFormat="1" applyFont="1" applyFill="1" applyBorder="1" applyAlignment="1">
      <alignment horizontal="center" wrapText="1"/>
    </xf>
    <xf numFmtId="0" fontId="4" fillId="3" borderId="27" xfId="0" applyFont="1" applyFill="1" applyBorder="1" applyAlignment="1">
      <alignment horizontal="center"/>
    </xf>
    <xf numFmtId="165" fontId="0" fillId="3" borderId="27" xfId="0" applyNumberFormat="1" applyFill="1" applyBorder="1"/>
    <xf numFmtId="164" fontId="9" fillId="3" borderId="27" xfId="0" applyNumberFormat="1" applyFont="1" applyFill="1" applyBorder="1" applyAlignment="1">
      <alignment horizontal="right"/>
    </xf>
    <xf numFmtId="0" fontId="12" fillId="0" borderId="0" xfId="0" applyFont="1"/>
    <xf numFmtId="44" fontId="13" fillId="0" borderId="0" xfId="1" applyFont="1"/>
    <xf numFmtId="0" fontId="12" fillId="0" borderId="12" xfId="0" applyNumberFormat="1" applyFont="1" applyBorder="1"/>
    <xf numFmtId="0" fontId="12" fillId="0" borderId="12" xfId="0" applyFont="1" applyBorder="1"/>
    <xf numFmtId="49" fontId="2" fillId="3" borderId="12" xfId="0" applyNumberFormat="1" applyFont="1" applyFill="1" applyBorder="1" applyAlignment="1">
      <alignment horizontal="left"/>
    </xf>
    <xf numFmtId="49" fontId="12" fillId="0" borderId="17" xfId="0" applyNumberFormat="1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49" fontId="12" fillId="0" borderId="5" xfId="0" applyNumberFormat="1" applyFont="1" applyBorder="1" applyAlignment="1">
      <alignment horizontal="center"/>
    </xf>
    <xf numFmtId="49" fontId="12" fillId="0" borderId="7" xfId="0" applyNumberFormat="1" applyFont="1" applyBorder="1"/>
    <xf numFmtId="165" fontId="0" fillId="0" borderId="5" xfId="0" applyNumberFormat="1" applyBorder="1"/>
    <xf numFmtId="164" fontId="13" fillId="0" borderId="5" xfId="0" applyNumberFormat="1" applyFont="1" applyBorder="1"/>
    <xf numFmtId="0" fontId="12" fillId="0" borderId="5" xfId="0" applyFont="1" applyBorder="1"/>
    <xf numFmtId="43" fontId="0" fillId="0" borderId="5" xfId="0" applyNumberFormat="1" applyBorder="1"/>
    <xf numFmtId="49" fontId="3" fillId="2" borderId="2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13" borderId="5" xfId="0" applyNumberFormat="1" applyFill="1" applyBorder="1"/>
    <xf numFmtId="43" fontId="0" fillId="0" borderId="0" xfId="0" applyNumberFormat="1"/>
    <xf numFmtId="164" fontId="16" fillId="5" borderId="10" xfId="0" applyNumberFormat="1" applyFont="1" applyFill="1" applyBorder="1" applyAlignment="1">
      <alignment horizontal="right"/>
    </xf>
    <xf numFmtId="169" fontId="0" fillId="13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4" fontId="20" fillId="12" borderId="30" xfId="2" applyNumberFormat="1" applyFont="1" applyFill="1" applyBorder="1" applyAlignment="1">
      <alignment horizontal="center" vertical="center"/>
    </xf>
    <xf numFmtId="0" fontId="20" fillId="12" borderId="30" xfId="2" applyFont="1" applyFill="1" applyBorder="1" applyAlignment="1">
      <alignment horizontal="center" vertical="center"/>
    </xf>
    <xf numFmtId="170" fontId="20" fillId="12" borderId="30" xfId="3" applyFont="1" applyFill="1" applyBorder="1" applyAlignment="1">
      <alignment horizontal="center" vertical="center"/>
    </xf>
    <xf numFmtId="170" fontId="20" fillId="12" borderId="12" xfId="3" applyFont="1" applyFill="1" applyBorder="1" applyAlignment="1">
      <alignment horizontal="center" vertical="center"/>
    </xf>
    <xf numFmtId="0" fontId="1" fillId="0" borderId="12" xfId="4"/>
    <xf numFmtId="14" fontId="21" fillId="0" borderId="31" xfId="2" applyNumberFormat="1" applyFont="1" applyBorder="1"/>
    <xf numFmtId="0" fontId="21" fillId="0" borderId="31" xfId="2" applyFont="1" applyBorder="1"/>
    <xf numFmtId="172" fontId="22" fillId="0" borderId="31" xfId="3" applyNumberFormat="1" applyFont="1" applyBorder="1"/>
    <xf numFmtId="172" fontId="21" fillId="0" borderId="31" xfId="3" applyNumberFormat="1" applyFont="1" applyBorder="1"/>
    <xf numFmtId="172" fontId="21" fillId="0" borderId="31" xfId="3" applyNumberFormat="1" applyFont="1" applyFill="1" applyBorder="1"/>
    <xf numFmtId="0" fontId="17" fillId="15" borderId="32" xfId="4" applyFont="1" applyFill="1" applyBorder="1" applyAlignment="1">
      <alignment horizontal="center"/>
    </xf>
    <xf numFmtId="0" fontId="17" fillId="15" borderId="33" xfId="4" applyFont="1" applyFill="1" applyBorder="1" applyAlignment="1">
      <alignment horizontal="center"/>
    </xf>
    <xf numFmtId="0" fontId="17" fillId="15" borderId="31" xfId="4" applyFont="1" applyFill="1" applyBorder="1" applyAlignment="1">
      <alignment horizontal="center"/>
    </xf>
    <xf numFmtId="0" fontId="17" fillId="15" borderId="12" xfId="4" applyFont="1" applyFill="1" applyAlignment="1">
      <alignment horizontal="center"/>
    </xf>
    <xf numFmtId="0" fontId="18" fillId="0" borderId="12" xfId="4" applyFont="1"/>
    <xf numFmtId="172" fontId="23" fillId="0" borderId="12" xfId="4" applyNumberFormat="1" applyFont="1"/>
    <xf numFmtId="0" fontId="24" fillId="0" borderId="12" xfId="4" applyFont="1"/>
    <xf numFmtId="173" fontId="25" fillId="0" borderId="31" xfId="3" applyNumberFormat="1" applyFont="1" applyFill="1" applyBorder="1"/>
    <xf numFmtId="172" fontId="21" fillId="0" borderId="34" xfId="3" applyNumberFormat="1" applyFont="1" applyBorder="1"/>
    <xf numFmtId="0" fontId="17" fillId="15" borderId="34" xfId="4" applyFont="1" applyFill="1" applyBorder="1" applyAlignment="1">
      <alignment horizontal="center"/>
    </xf>
    <xf numFmtId="172" fontId="21" fillId="13" borderId="34" xfId="3" applyNumberFormat="1" applyFont="1" applyFill="1" applyBorder="1"/>
    <xf numFmtId="172" fontId="21" fillId="14" borderId="34" xfId="3" applyNumberFormat="1" applyFont="1" applyFill="1" applyBorder="1"/>
    <xf numFmtId="174" fontId="26" fillId="0" borderId="12" xfId="4" applyNumberFormat="1" applyFont="1"/>
    <xf numFmtId="0" fontId="21" fillId="14" borderId="31" xfId="2" applyFont="1" applyFill="1" applyBorder="1"/>
    <xf numFmtId="172" fontId="21" fillId="13" borderId="31" xfId="3" applyNumberFormat="1" applyFont="1" applyFill="1" applyBorder="1"/>
    <xf numFmtId="4" fontId="0" fillId="0" borderId="5" xfId="0" applyNumberFormat="1" applyBorder="1" applyAlignment="1">
      <alignment horizontal="center"/>
    </xf>
    <xf numFmtId="164" fontId="2" fillId="15" borderId="1" xfId="0" applyNumberFormat="1" applyFont="1" applyFill="1" applyBorder="1"/>
    <xf numFmtId="164" fontId="2" fillId="15" borderId="1" xfId="0" applyNumberFormat="1" applyFont="1" applyFill="1" applyBorder="1" applyAlignment="1">
      <alignment wrapText="1"/>
    </xf>
    <xf numFmtId="49" fontId="2" fillId="16" borderId="1" xfId="0" applyNumberFormat="1" applyFont="1" applyFill="1" applyBorder="1" applyAlignment="1">
      <alignment horizontal="left"/>
    </xf>
    <xf numFmtId="172" fontId="22" fillId="0" borderId="31" xfId="3" applyNumberFormat="1" applyFont="1" applyFill="1" applyBorder="1"/>
    <xf numFmtId="172" fontId="21" fillId="0" borderId="34" xfId="3" applyNumberFormat="1" applyFont="1" applyFill="1" applyBorder="1"/>
    <xf numFmtId="49" fontId="7" fillId="3" borderId="1" xfId="0" applyNumberFormat="1" applyFont="1" applyFill="1" applyBorder="1"/>
    <xf numFmtId="4" fontId="0" fillId="0" borderId="16" xfId="0" applyNumberFormat="1" applyBorder="1" applyAlignment="1">
      <alignment horizontal="center"/>
    </xf>
    <xf numFmtId="0" fontId="27" fillId="0" borderId="31" xfId="2" applyFont="1" applyBorder="1"/>
    <xf numFmtId="14" fontId="28" fillId="0" borderId="31" xfId="4" applyNumberFormat="1" applyFont="1" applyBorder="1"/>
    <xf numFmtId="14" fontId="21" fillId="0" borderId="12" xfId="2" applyNumberFormat="1" applyFont="1"/>
    <xf numFmtId="49" fontId="8" fillId="0" borderId="17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/>
    </xf>
    <xf numFmtId="0" fontId="9" fillId="0" borderId="14" xfId="0" applyFont="1" applyBorder="1"/>
    <xf numFmtId="0" fontId="9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5" xfId="0" applyFont="1" applyBorder="1"/>
    <xf numFmtId="0" fontId="9" fillId="0" borderId="0" xfId="0" applyNumberFormat="1" applyFont="1"/>
    <xf numFmtId="164" fontId="13" fillId="0" borderId="0" xfId="0" applyNumberFormat="1" applyFont="1"/>
    <xf numFmtId="164" fontId="13" fillId="0" borderId="7" xfId="0" applyNumberFormat="1" applyFont="1" applyBorder="1"/>
    <xf numFmtId="44" fontId="29" fillId="0" borderId="35" xfId="1" applyFont="1" applyFill="1" applyBorder="1" applyAlignment="1">
      <alignment horizontal="right"/>
    </xf>
    <xf numFmtId="49" fontId="13" fillId="0" borderId="5" xfId="0" applyNumberFormat="1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30" fillId="17" borderId="35" xfId="2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44" fontId="31" fillId="0" borderId="35" xfId="1" applyFont="1" applyFill="1" applyBorder="1" applyAlignment="1">
      <alignment horizontal="right"/>
    </xf>
    <xf numFmtId="14" fontId="32" fillId="12" borderId="30" xfId="2" applyNumberFormat="1" applyFont="1" applyFill="1" applyBorder="1" applyAlignment="1">
      <alignment horizontal="center" vertical="center"/>
    </xf>
    <xf numFmtId="171" fontId="32" fillId="12" borderId="30" xfId="3" applyNumberFormat="1" applyFont="1" applyFill="1" applyBorder="1" applyAlignment="1">
      <alignment vertical="center"/>
    </xf>
    <xf numFmtId="0" fontId="32" fillId="12" borderId="30" xfId="2" applyFont="1" applyFill="1" applyBorder="1" applyAlignment="1">
      <alignment horizontal="center" vertical="center"/>
    </xf>
    <xf numFmtId="170" fontId="32" fillId="12" borderId="30" xfId="3" applyFont="1" applyFill="1" applyBorder="1" applyAlignment="1">
      <alignment horizontal="center" vertical="center"/>
    </xf>
    <xf numFmtId="170" fontId="32" fillId="12" borderId="12" xfId="3" applyFont="1" applyFill="1" applyBorder="1" applyAlignment="1">
      <alignment horizontal="center" vertical="center"/>
    </xf>
    <xf numFmtId="0" fontId="33" fillId="18" borderId="12" xfId="4" applyFont="1" applyFill="1" applyAlignment="1">
      <alignment horizontal="center" vertical="center"/>
    </xf>
    <xf numFmtId="172" fontId="34" fillId="0" borderId="12" xfId="4" applyNumberFormat="1" applyFont="1"/>
    <xf numFmtId="14" fontId="35" fillId="0" borderId="31" xfId="2" applyNumberFormat="1" applyFont="1" applyBorder="1"/>
    <xf numFmtId="0" fontId="36" fillId="0" borderId="31" xfId="4" applyFont="1" applyBorder="1"/>
    <xf numFmtId="0" fontId="37" fillId="0" borderId="31" xfId="2" applyFont="1" applyBorder="1"/>
    <xf numFmtId="44" fontId="34" fillId="0" borderId="31" xfId="1" applyFont="1" applyFill="1" applyBorder="1"/>
    <xf numFmtId="44" fontId="38" fillId="0" borderId="31" xfId="1" applyFont="1" applyBorder="1"/>
    <xf numFmtId="44" fontId="35" fillId="0" borderId="34" xfId="1" applyFont="1" applyFill="1" applyBorder="1"/>
    <xf numFmtId="44" fontId="39" fillId="0" borderId="31" xfId="1" applyFont="1" applyFill="1" applyBorder="1"/>
    <xf numFmtId="172" fontId="35" fillId="0" borderId="31" xfId="3" applyNumberFormat="1" applyFont="1" applyFill="1" applyBorder="1"/>
    <xf numFmtId="0" fontId="40" fillId="0" borderId="12" xfId="4" applyFont="1"/>
    <xf numFmtId="0" fontId="35" fillId="0" borderId="31" xfId="2" applyFont="1" applyBorder="1"/>
    <xf numFmtId="44" fontId="35" fillId="0" borderId="34" xfId="1" applyFont="1" applyBorder="1"/>
    <xf numFmtId="0" fontId="41" fillId="0" borderId="31" xfId="2" applyFont="1" applyBorder="1"/>
    <xf numFmtId="44" fontId="34" fillId="0" borderId="31" xfId="1" applyFont="1" applyBorder="1"/>
    <xf numFmtId="44" fontId="35" fillId="0" borderId="31" xfId="1" applyFont="1" applyBorder="1"/>
    <xf numFmtId="44" fontId="35" fillId="0" borderId="31" xfId="1" applyFont="1" applyFill="1" applyBorder="1"/>
    <xf numFmtId="172" fontId="41" fillId="0" borderId="31" xfId="3" applyNumberFormat="1" applyFont="1" applyFill="1" applyBorder="1"/>
    <xf numFmtId="44" fontId="40" fillId="0" borderId="31" xfId="1" applyFont="1" applyBorder="1"/>
    <xf numFmtId="0" fontId="34" fillId="0" borderId="31" xfId="2" applyFont="1" applyBorder="1"/>
    <xf numFmtId="44" fontId="43" fillId="0" borderId="31" xfId="1" applyFont="1" applyBorder="1"/>
    <xf numFmtId="0" fontId="44" fillId="0" borderId="31" xfId="2" applyFont="1" applyBorder="1"/>
    <xf numFmtId="0" fontId="33" fillId="0" borderId="31" xfId="4" applyFont="1" applyBorder="1"/>
    <xf numFmtId="14" fontId="35" fillId="0" borderId="36" xfId="2" applyNumberFormat="1" applyFont="1" applyBorder="1"/>
    <xf numFmtId="0" fontId="35" fillId="0" borderId="36" xfId="2" applyFont="1" applyBorder="1"/>
    <xf numFmtId="44" fontId="35" fillId="0" borderId="36" xfId="1" applyFont="1" applyBorder="1"/>
    <xf numFmtId="172" fontId="35" fillId="0" borderId="36" xfId="3" applyNumberFormat="1" applyFont="1" applyFill="1" applyBorder="1"/>
    <xf numFmtId="172" fontId="42" fillId="0" borderId="31" xfId="3" applyNumberFormat="1" applyFont="1" applyFill="1" applyBorder="1"/>
    <xf numFmtId="14" fontId="35" fillId="0" borderId="38" xfId="2" applyNumberFormat="1" applyFont="1" applyBorder="1"/>
    <xf numFmtId="44" fontId="34" fillId="0" borderId="37" xfId="1" applyFont="1" applyFill="1" applyBorder="1"/>
    <xf numFmtId="14" fontId="35" fillId="0" borderId="40" xfId="2" applyNumberFormat="1" applyFont="1" applyBorder="1"/>
    <xf numFmtId="0" fontId="35" fillId="0" borderId="40" xfId="2" applyFont="1" applyBorder="1"/>
    <xf numFmtId="44" fontId="35" fillId="0" borderId="40" xfId="1" applyFont="1" applyBorder="1"/>
    <xf numFmtId="172" fontId="35" fillId="0" borderId="40" xfId="3" applyNumberFormat="1" applyFont="1" applyFill="1" applyBorder="1"/>
    <xf numFmtId="14" fontId="35" fillId="0" borderId="41" xfId="2" applyNumberFormat="1" applyFont="1" applyBorder="1"/>
    <xf numFmtId="0" fontId="35" fillId="0" borderId="41" xfId="2" applyFont="1" applyBorder="1"/>
    <xf numFmtId="172" fontId="35" fillId="0" borderId="41" xfId="3" applyNumberFormat="1" applyFont="1" applyFill="1" applyBorder="1"/>
    <xf numFmtId="44" fontId="34" fillId="0" borderId="41" xfId="1" applyFont="1" applyFill="1" applyBorder="1"/>
    <xf numFmtId="172" fontId="42" fillId="0" borderId="41" xfId="3" applyNumberFormat="1" applyFont="1" applyFill="1" applyBorder="1"/>
    <xf numFmtId="0" fontId="35" fillId="0" borderId="39" xfId="2" applyFont="1" applyBorder="1"/>
    <xf numFmtId="172" fontId="35" fillId="0" borderId="12" xfId="3" applyNumberFormat="1" applyFont="1" applyFill="1" applyBorder="1"/>
    <xf numFmtId="14" fontId="33" fillId="0" borderId="31" xfId="4" applyNumberFormat="1" applyFont="1" applyBorder="1"/>
    <xf numFmtId="172" fontId="42" fillId="0" borderId="40" xfId="3" applyNumberFormat="1" applyFont="1" applyFill="1" applyBorder="1"/>
    <xf numFmtId="44" fontId="35" fillId="0" borderId="41" xfId="1" applyFont="1" applyBorder="1"/>
    <xf numFmtId="0" fontId="32" fillId="15" borderId="31" xfId="4" applyFont="1" applyFill="1" applyBorder="1" applyAlignment="1">
      <alignment horizontal="center"/>
    </xf>
    <xf numFmtId="0" fontId="44" fillId="0" borderId="12" xfId="4" applyFont="1"/>
    <xf numFmtId="0" fontId="41" fillId="0" borderId="40" xfId="2" applyFont="1" applyBorder="1"/>
    <xf numFmtId="44" fontId="33" fillId="0" borderId="31" xfId="1" applyFont="1" applyBorder="1"/>
    <xf numFmtId="44" fontId="35" fillId="0" borderId="12" xfId="1" applyFont="1" applyBorder="1"/>
    <xf numFmtId="172" fontId="41" fillId="19" borderId="31" xfId="3" applyNumberFormat="1" applyFont="1" applyFill="1" applyBorder="1"/>
    <xf numFmtId="0" fontId="40" fillId="19" borderId="12" xfId="4" applyFont="1" applyFill="1"/>
    <xf numFmtId="172" fontId="32" fillId="19" borderId="31" xfId="3" applyNumberFormat="1" applyFont="1" applyFill="1" applyBorder="1"/>
    <xf numFmtId="172" fontId="42" fillId="19" borderId="31" xfId="3" applyNumberFormat="1" applyFont="1" applyFill="1" applyBorder="1"/>
    <xf numFmtId="0" fontId="45" fillId="19" borderId="12" xfId="4" applyFont="1" applyFill="1"/>
    <xf numFmtId="0" fontId="44" fillId="0" borderId="41" xfId="2" applyFont="1" applyBorder="1"/>
    <xf numFmtId="14" fontId="35" fillId="0" borderId="42" xfId="2" applyNumberFormat="1" applyFont="1" applyBorder="1"/>
    <xf numFmtId="0" fontId="36" fillId="0" borderId="42" xfId="4" applyFont="1" applyBorder="1"/>
    <xf numFmtId="44" fontId="34" fillId="0" borderId="42" xfId="1" applyFont="1" applyFill="1" applyBorder="1"/>
    <xf numFmtId="0" fontId="35" fillId="0" borderId="12" xfId="2" applyFont="1"/>
    <xf numFmtId="0" fontId="42" fillId="0" borderId="31" xfId="2" applyFont="1" applyBorder="1"/>
    <xf numFmtId="3" fontId="0" fillId="0" borderId="16" xfId="0" applyNumberFormat="1" applyBorder="1" applyAlignment="1">
      <alignment horizontal="center"/>
    </xf>
    <xf numFmtId="172" fontId="42" fillId="19" borderId="40" xfId="3" applyNumberFormat="1" applyFont="1" applyFill="1" applyBorder="1"/>
    <xf numFmtId="172" fontId="42" fillId="0" borderId="12" xfId="3" applyNumberFormat="1" applyFont="1" applyFill="1" applyBorder="1"/>
    <xf numFmtId="0" fontId="41" fillId="0" borderId="36" xfId="2" applyFont="1" applyBorder="1"/>
    <xf numFmtId="0" fontId="44" fillId="0" borderId="40" xfId="2" applyFont="1" applyBorder="1"/>
    <xf numFmtId="14" fontId="33" fillId="0" borderId="41" xfId="4" applyNumberFormat="1" applyFont="1" applyBorder="1"/>
    <xf numFmtId="14" fontId="35" fillId="0" borderId="43" xfId="2" applyNumberFormat="1" applyFont="1" applyBorder="1"/>
    <xf numFmtId="0" fontId="36" fillId="0" borderId="43" xfId="4" applyFont="1" applyBorder="1"/>
    <xf numFmtId="44" fontId="34" fillId="0" borderId="43" xfId="1" applyFont="1" applyFill="1" applyBorder="1"/>
    <xf numFmtId="44" fontId="35" fillId="0" borderId="43" xfId="1" applyFont="1" applyBorder="1"/>
    <xf numFmtId="0" fontId="44" fillId="0" borderId="41" xfId="4" applyFont="1" applyBorder="1"/>
    <xf numFmtId="14" fontId="35" fillId="0" borderId="12" xfId="2" applyNumberFormat="1" applyFont="1"/>
    <xf numFmtId="0" fontId="32" fillId="15" borderId="40" xfId="4" applyFont="1" applyFill="1" applyBorder="1" applyAlignment="1">
      <alignment horizontal="center"/>
    </xf>
    <xf numFmtId="0" fontId="44" fillId="0" borderId="40" xfId="4" applyFont="1" applyBorder="1"/>
    <xf numFmtId="0" fontId="40" fillId="0" borderId="31" xfId="4" applyFont="1" applyBorder="1"/>
    <xf numFmtId="0" fontId="40" fillId="0" borderId="41" xfId="4" applyFont="1" applyBorder="1"/>
    <xf numFmtId="0" fontId="35" fillId="0" borderId="42" xfId="2" applyFont="1" applyBorder="1"/>
    <xf numFmtId="0" fontId="35" fillId="0" borderId="43" xfId="2" applyFont="1" applyBorder="1"/>
    <xf numFmtId="0" fontId="33" fillId="0" borderId="12" xfId="4" applyFont="1"/>
    <xf numFmtId="0" fontId="41" fillId="0" borderId="41" xfId="2" applyFont="1" applyBorder="1"/>
    <xf numFmtId="0" fontId="44" fillId="0" borderId="39" xfId="2" applyFont="1" applyBorder="1"/>
    <xf numFmtId="0" fontId="40" fillId="0" borderId="40" xfId="4" applyFont="1" applyBorder="1"/>
    <xf numFmtId="0" fontId="37" fillId="0" borderId="43" xfId="2" applyFont="1" applyBorder="1"/>
    <xf numFmtId="172" fontId="34" fillId="0" borderId="37" xfId="4" applyNumberFormat="1" applyFont="1" applyBorder="1"/>
    <xf numFmtId="0" fontId="32" fillId="15" borderId="37" xfId="4" applyFont="1" applyFill="1" applyBorder="1" applyAlignment="1">
      <alignment horizontal="center"/>
    </xf>
    <xf numFmtId="44" fontId="34" fillId="0" borderId="37" xfId="1" applyFont="1" applyBorder="1"/>
    <xf numFmtId="44" fontId="43" fillId="0" borderId="37" xfId="1" applyFont="1" applyBorder="1"/>
    <xf numFmtId="172" fontId="34" fillId="0" borderId="41" xfId="4" applyNumberFormat="1" applyFont="1" applyBorder="1"/>
    <xf numFmtId="44" fontId="40" fillId="0" borderId="37" xfId="1" applyFont="1" applyBorder="1"/>
    <xf numFmtId="172" fontId="43" fillId="0" borderId="37" xfId="4" applyNumberFormat="1" applyFont="1" applyBorder="1"/>
    <xf numFmtId="172" fontId="43" fillId="0" borderId="40" xfId="4" applyNumberFormat="1" applyFont="1" applyBorder="1"/>
    <xf numFmtId="44" fontId="33" fillId="0" borderId="34" xfId="4" applyNumberFormat="1" applyFont="1" applyBorder="1"/>
    <xf numFmtId="44" fontId="35" fillId="0" borderId="37" xfId="1" applyFont="1" applyBorder="1"/>
    <xf numFmtId="0" fontId="1" fillId="0" borderId="31" xfId="4" applyBorder="1"/>
    <xf numFmtId="44" fontId="35" fillId="0" borderId="43" xfId="1" applyFont="1" applyFill="1" applyBorder="1"/>
    <xf numFmtId="172" fontId="34" fillId="0" borderId="31" xfId="4" applyNumberFormat="1" applyFont="1" applyBorder="1"/>
    <xf numFmtId="172" fontId="42" fillId="19" borderId="36" xfId="3" applyNumberFormat="1" applyFont="1" applyFill="1" applyBorder="1"/>
    <xf numFmtId="172" fontId="35" fillId="0" borderId="43" xfId="3" applyNumberFormat="1" applyFont="1" applyFill="1" applyBorder="1"/>
    <xf numFmtId="172" fontId="35" fillId="0" borderId="42" xfId="3" applyNumberFormat="1" applyFont="1" applyFill="1" applyBorder="1"/>
    <xf numFmtId="172" fontId="41" fillId="19" borderId="41" xfId="3" applyNumberFormat="1" applyFont="1" applyFill="1" applyBorder="1"/>
    <xf numFmtId="172" fontId="42" fillId="19" borderId="41" xfId="3" applyNumberFormat="1" applyFont="1" applyFill="1" applyBorder="1"/>
    <xf numFmtId="14" fontId="35" fillId="0" borderId="44" xfId="2" applyNumberFormat="1" applyFont="1" applyBorder="1" applyAlignment="1">
      <alignment horizontal="right" vertical="center"/>
    </xf>
    <xf numFmtId="0" fontId="36" fillId="0" borderId="44" xfId="4" applyFont="1" applyBorder="1"/>
    <xf numFmtId="0" fontId="35" fillId="0" borderId="44" xfId="2" applyFont="1" applyBorder="1"/>
    <xf numFmtId="44" fontId="34" fillId="0" borderId="44" xfId="1" applyFont="1" applyFill="1" applyBorder="1"/>
    <xf numFmtId="44" fontId="35" fillId="0" borderId="44" xfId="1" applyFont="1" applyBorder="1"/>
    <xf numFmtId="44" fontId="39" fillId="0" borderId="44" xfId="1" applyFont="1" applyFill="1" applyBorder="1"/>
    <xf numFmtId="172" fontId="35" fillId="0" borderId="44" xfId="3" applyNumberFormat="1" applyFont="1" applyFill="1" applyBorder="1"/>
    <xf numFmtId="14" fontId="35" fillId="0" borderId="44" xfId="2" applyNumberFormat="1" applyFont="1" applyBorder="1"/>
    <xf numFmtId="44" fontId="40" fillId="0" borderId="44" xfId="1" applyFont="1" applyBorder="1"/>
    <xf numFmtId="172" fontId="32" fillId="19" borderId="44" xfId="3" applyNumberFormat="1" applyFont="1" applyFill="1" applyBorder="1"/>
    <xf numFmtId="0" fontId="44" fillId="0" borderId="30" xfId="4" applyFont="1" applyBorder="1"/>
    <xf numFmtId="0" fontId="40" fillId="0" borderId="30" xfId="4" applyFont="1" applyBorder="1"/>
    <xf numFmtId="172" fontId="43" fillId="0" borderId="30" xfId="4" applyNumberFormat="1" applyFont="1" applyBorder="1"/>
    <xf numFmtId="172" fontId="34" fillId="0" borderId="30" xfId="4" applyNumberFormat="1" applyFont="1" applyBorder="1"/>
    <xf numFmtId="44" fontId="35" fillId="0" borderId="44" xfId="1" applyFont="1" applyFill="1" applyBorder="1"/>
    <xf numFmtId="172" fontId="42" fillId="0" borderId="44" xfId="3" applyNumberFormat="1" applyFont="1" applyFill="1" applyBorder="1"/>
    <xf numFmtId="172" fontId="41" fillId="19" borderId="44" xfId="3" applyNumberFormat="1" applyFont="1" applyFill="1" applyBorder="1"/>
    <xf numFmtId="172" fontId="41" fillId="0" borderId="44" xfId="3" applyNumberFormat="1" applyFont="1" applyFill="1" applyBorder="1"/>
    <xf numFmtId="172" fontId="42" fillId="19" borderId="44" xfId="3" applyNumberFormat="1" applyFont="1" applyFill="1" applyBorder="1"/>
    <xf numFmtId="0" fontId="0" fillId="0" borderId="45" xfId="0" applyBorder="1"/>
    <xf numFmtId="164" fontId="6" fillId="0" borderId="45" xfId="0" applyNumberFormat="1" applyFont="1" applyBorder="1" applyAlignment="1">
      <alignment horizontal="right"/>
    </xf>
    <xf numFmtId="0" fontId="0" fillId="3" borderId="45" xfId="0" applyFill="1" applyBorder="1"/>
    <xf numFmtId="0" fontId="0" fillId="0" borderId="45" xfId="0" applyBorder="1" applyAlignment="1">
      <alignment horizontal="center"/>
    </xf>
    <xf numFmtId="0" fontId="0" fillId="0" borderId="48" xfId="0" applyBorder="1"/>
    <xf numFmtId="0" fontId="0" fillId="3" borderId="17" xfId="0" applyFill="1" applyBorder="1"/>
    <xf numFmtId="0" fontId="3" fillId="3" borderId="46" xfId="0" applyFont="1" applyFill="1" applyBorder="1" applyAlignment="1">
      <alignment horizontal="center" vertical="center"/>
    </xf>
    <xf numFmtId="164" fontId="3" fillId="3" borderId="46" xfId="0" applyNumberFormat="1" applyFont="1" applyFill="1" applyBorder="1" applyAlignment="1">
      <alignment horizontal="center" vertical="center"/>
    </xf>
    <xf numFmtId="0" fontId="46" fillId="0" borderId="0" xfId="0" applyNumberFormat="1" applyFont="1"/>
    <xf numFmtId="164" fontId="10" fillId="0" borderId="0" xfId="0" applyNumberFormat="1" applyFont="1" applyAlignment="1">
      <alignment horizontal="center" vertical="center"/>
    </xf>
    <xf numFmtId="0" fontId="42" fillId="0" borderId="44" xfId="2" applyFont="1" applyBorder="1"/>
    <xf numFmtId="0" fontId="48" fillId="0" borderId="12" xfId="0" applyFont="1" applyBorder="1"/>
    <xf numFmtId="0" fontId="41" fillId="0" borderId="44" xfId="2" applyFont="1" applyBorder="1"/>
    <xf numFmtId="14" fontId="33" fillId="0" borderId="44" xfId="4" applyNumberFormat="1" applyFont="1" applyBorder="1"/>
    <xf numFmtId="170" fontId="49" fillId="12" borderId="30" xfId="3" applyFont="1" applyFill="1" applyBorder="1" applyAlignment="1">
      <alignment horizontal="center" vertical="center"/>
    </xf>
    <xf numFmtId="44" fontId="50" fillId="0" borderId="44" xfId="1" applyFont="1" applyBorder="1"/>
    <xf numFmtId="0" fontId="49" fillId="15" borderId="40" xfId="4" applyFont="1" applyFill="1" applyBorder="1" applyAlignment="1">
      <alignment horizontal="center"/>
    </xf>
    <xf numFmtId="172" fontId="51" fillId="0" borderId="40" xfId="4" applyNumberFormat="1" applyFont="1" applyBorder="1"/>
    <xf numFmtId="0" fontId="52" fillId="0" borderId="12" xfId="0" applyFont="1" applyBorder="1"/>
    <xf numFmtId="172" fontId="51" fillId="0" borderId="30" xfId="4" applyNumberFormat="1" applyFont="1" applyBorder="1"/>
    <xf numFmtId="44" fontId="50" fillId="0" borderId="31" xfId="1" applyFont="1" applyBorder="1"/>
    <xf numFmtId="44" fontId="50" fillId="0" borderId="40" xfId="1" applyFont="1" applyBorder="1"/>
    <xf numFmtId="44" fontId="37" fillId="0" borderId="31" xfId="1" applyFont="1" applyBorder="1"/>
    <xf numFmtId="44" fontId="50" fillId="0" borderId="43" xfId="1" applyFont="1" applyBorder="1"/>
    <xf numFmtId="44" fontId="50" fillId="0" borderId="12" xfId="1" applyFont="1" applyBorder="1"/>
    <xf numFmtId="44" fontId="50" fillId="0" borderId="36" xfId="1" applyFont="1" applyBorder="1"/>
    <xf numFmtId="44" fontId="50" fillId="0" borderId="37" xfId="1" applyFont="1" applyBorder="1"/>
    <xf numFmtId="44" fontId="50" fillId="0" borderId="41" xfId="1" applyFont="1" applyBorder="1"/>
    <xf numFmtId="172" fontId="51" fillId="0" borderId="41" xfId="4" applyNumberFormat="1" applyFont="1" applyBorder="1"/>
    <xf numFmtId="172" fontId="51" fillId="0" borderId="12" xfId="4" applyNumberFormat="1" applyFont="1"/>
    <xf numFmtId="172" fontId="50" fillId="0" borderId="31" xfId="3" applyNumberFormat="1" applyFont="1" applyBorder="1"/>
    <xf numFmtId="172" fontId="50" fillId="0" borderId="0" xfId="3" applyNumberFormat="1" applyFont="1" applyBorder="1"/>
    <xf numFmtId="0" fontId="49" fillId="15" borderId="31" xfId="4" applyFont="1" applyFill="1" applyBorder="1" applyAlignment="1">
      <alignment horizontal="center"/>
    </xf>
    <xf numFmtId="172" fontId="50" fillId="0" borderId="31" xfId="3" applyNumberFormat="1" applyFont="1" applyFill="1" applyBorder="1"/>
    <xf numFmtId="172" fontId="50" fillId="15" borderId="31" xfId="3" applyNumberFormat="1" applyFont="1" applyFill="1" applyBorder="1"/>
    <xf numFmtId="172" fontId="50" fillId="13" borderId="31" xfId="3" applyNumberFormat="1" applyFont="1" applyFill="1" applyBorder="1"/>
    <xf numFmtId="0" fontId="37" fillId="0" borderId="12" xfId="4" applyFont="1"/>
    <xf numFmtId="0" fontId="53" fillId="0" borderId="12" xfId="4" applyFont="1"/>
    <xf numFmtId="172" fontId="50" fillId="14" borderId="31" xfId="3" applyNumberFormat="1" applyFont="1" applyFill="1" applyBorder="1"/>
    <xf numFmtId="172" fontId="50" fillId="14" borderId="34" xfId="3" applyNumberFormat="1" applyFont="1" applyFill="1" applyBorder="1"/>
    <xf numFmtId="0" fontId="45" fillId="0" borderId="12" xfId="4" applyFont="1"/>
    <xf numFmtId="0" fontId="37" fillId="0" borderId="44" xfId="2" applyFont="1" applyBorder="1"/>
    <xf numFmtId="44" fontId="35" fillId="0" borderId="12" xfId="1" applyFont="1" applyFill="1" applyBorder="1"/>
    <xf numFmtId="14" fontId="35" fillId="0" borderId="49" xfId="2" applyNumberFormat="1" applyFont="1" applyBorder="1"/>
    <xf numFmtId="0" fontId="36" fillId="0" borderId="49" xfId="4" applyFont="1" applyBorder="1"/>
    <xf numFmtId="0" fontId="35" fillId="0" borderId="49" xfId="2" applyFont="1" applyBorder="1"/>
    <xf numFmtId="44" fontId="34" fillId="0" borderId="49" xfId="1" applyFont="1" applyFill="1" applyBorder="1"/>
    <xf numFmtId="44" fontId="50" fillId="0" borderId="49" xfId="1" applyFont="1" applyBorder="1"/>
    <xf numFmtId="44" fontId="35" fillId="0" borderId="49" xfId="1" applyFont="1" applyFill="1" applyBorder="1"/>
    <xf numFmtId="44" fontId="39" fillId="0" borderId="49" xfId="1" applyFont="1" applyFill="1" applyBorder="1"/>
    <xf numFmtId="172" fontId="41" fillId="0" borderId="49" xfId="3" applyNumberFormat="1" applyFont="1" applyFill="1" applyBorder="1"/>
    <xf numFmtId="172" fontId="35" fillId="0" borderId="49" xfId="3" applyNumberFormat="1" applyFont="1" applyFill="1" applyBorder="1"/>
    <xf numFmtId="0" fontId="36" fillId="0" borderId="12" xfId="4" applyFont="1"/>
    <xf numFmtId="14" fontId="35" fillId="0" borderId="50" xfId="2" applyNumberFormat="1" applyFont="1" applyBorder="1"/>
    <xf numFmtId="0" fontId="36" fillId="0" borderId="50" xfId="4" applyFont="1" applyBorder="1"/>
    <xf numFmtId="0" fontId="35" fillId="0" borderId="50" xfId="2" applyFont="1" applyBorder="1"/>
    <xf numFmtId="44" fontId="34" fillId="0" borderId="50" xfId="1" applyFont="1" applyFill="1" applyBorder="1"/>
    <xf numFmtId="44" fontId="50" fillId="0" borderId="50" xfId="1" applyFont="1" applyBorder="1"/>
    <xf numFmtId="44" fontId="35" fillId="0" borderId="50" xfId="1" applyFont="1" applyFill="1" applyBorder="1"/>
    <xf numFmtId="44" fontId="39" fillId="0" borderId="50" xfId="1" applyFont="1" applyFill="1" applyBorder="1"/>
    <xf numFmtId="172" fontId="41" fillId="0" borderId="50" xfId="3" applyNumberFormat="1" applyFont="1" applyFill="1" applyBorder="1"/>
    <xf numFmtId="172" fontId="35" fillId="0" borderId="50" xfId="3" applyNumberFormat="1" applyFont="1" applyFill="1" applyBorder="1"/>
    <xf numFmtId="0" fontId="42" fillId="0" borderId="12" xfId="4" applyFont="1"/>
    <xf numFmtId="0" fontId="54" fillId="0" borderId="12" xfId="0" applyFont="1" applyBorder="1"/>
    <xf numFmtId="171" fontId="32" fillId="12" borderId="30" xfId="3" applyNumberFormat="1" applyFont="1" applyFill="1" applyBorder="1" applyAlignment="1">
      <alignment horizontal="center" vertical="center"/>
    </xf>
    <xf numFmtId="171" fontId="55" fillId="0" borderId="31" xfId="3" applyNumberFormat="1" applyFont="1" applyBorder="1"/>
    <xf numFmtId="171" fontId="55" fillId="0" borderId="31" xfId="3" applyNumberFormat="1" applyFont="1" applyFill="1" applyBorder="1"/>
    <xf numFmtId="171" fontId="55" fillId="0" borderId="12" xfId="3" applyNumberFormat="1" applyFont="1" applyFill="1" applyBorder="1"/>
    <xf numFmtId="0" fontId="32" fillId="15" borderId="33" xfId="4" applyFont="1" applyFill="1" applyBorder="1" applyAlignment="1">
      <alignment horizontal="center"/>
    </xf>
    <xf numFmtId="171" fontId="55" fillId="14" borderId="31" xfId="3" applyNumberFormat="1" applyFont="1" applyFill="1" applyBorder="1"/>
    <xf numFmtId="0" fontId="33" fillId="0" borderId="49" xfId="4" applyFont="1" applyBorder="1"/>
    <xf numFmtId="0" fontId="41" fillId="0" borderId="49" xfId="2" applyFont="1" applyBorder="1"/>
    <xf numFmtId="44" fontId="33" fillId="0" borderId="49" xfId="4" applyNumberFormat="1" applyFont="1" applyBorder="1"/>
    <xf numFmtId="44" fontId="33" fillId="0" borderId="44" xfId="4" applyNumberFormat="1" applyFont="1" applyBorder="1"/>
    <xf numFmtId="44" fontId="33" fillId="0" borderId="50" xfId="4" applyNumberFormat="1" applyFont="1" applyBorder="1"/>
    <xf numFmtId="14" fontId="35" fillId="0" borderId="51" xfId="2" applyNumberFormat="1" applyFont="1" applyBorder="1"/>
    <xf numFmtId="0" fontId="36" fillId="0" borderId="51" xfId="4" applyFont="1" applyBorder="1"/>
    <xf numFmtId="0" fontId="35" fillId="0" borderId="51" xfId="2" applyFont="1" applyBorder="1"/>
    <xf numFmtId="44" fontId="34" fillId="0" borderId="51" xfId="1" applyFont="1" applyFill="1" applyBorder="1"/>
    <xf numFmtId="44" fontId="33" fillId="0" borderId="51" xfId="4" applyNumberFormat="1" applyFont="1" applyBorder="1"/>
    <xf numFmtId="44" fontId="35" fillId="0" borderId="51" xfId="1" applyFont="1" applyFill="1" applyBorder="1"/>
    <xf numFmtId="44" fontId="39" fillId="0" borderId="51" xfId="1" applyFont="1" applyFill="1" applyBorder="1"/>
    <xf numFmtId="172" fontId="41" fillId="0" borderId="51" xfId="3" applyNumberFormat="1" applyFont="1" applyFill="1" applyBorder="1"/>
    <xf numFmtId="14" fontId="35" fillId="0" borderId="52" xfId="2" applyNumberFormat="1" applyFont="1" applyBorder="1"/>
    <xf numFmtId="0" fontId="36" fillId="0" borderId="52" xfId="4" applyFont="1" applyBorder="1"/>
    <xf numFmtId="0" fontId="35" fillId="0" borderId="52" xfId="2" applyFont="1" applyBorder="1"/>
    <xf numFmtId="44" fontId="34" fillId="0" borderId="52" xfId="1" applyFont="1" applyFill="1" applyBorder="1"/>
    <xf numFmtId="44" fontId="33" fillId="0" borderId="52" xfId="4" applyNumberFormat="1" applyFont="1" applyBorder="1"/>
    <xf numFmtId="44" fontId="35" fillId="0" borderId="52" xfId="1" applyFont="1" applyFill="1" applyBorder="1"/>
    <xf numFmtId="44" fontId="39" fillId="0" borderId="52" xfId="1" applyFont="1" applyFill="1" applyBorder="1"/>
    <xf numFmtId="172" fontId="41" fillId="0" borderId="52" xfId="3" applyNumberFormat="1" applyFont="1" applyFill="1" applyBorder="1"/>
    <xf numFmtId="44" fontId="50" fillId="0" borderId="52" xfId="1" applyFont="1" applyBorder="1"/>
    <xf numFmtId="44" fontId="35" fillId="0" borderId="50" xfId="1" quotePrefix="1" applyFont="1" applyFill="1" applyBorder="1"/>
    <xf numFmtId="172" fontId="35" fillId="0" borderId="52" xfId="3" applyNumberFormat="1" applyFont="1" applyFill="1" applyBorder="1"/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3" borderId="46" xfId="0" applyNumberFormat="1" applyFont="1" applyFill="1" applyBorder="1" applyAlignment="1">
      <alignment horizontal="center" vertical="center"/>
    </xf>
    <xf numFmtId="49" fontId="0" fillId="3" borderId="17" xfId="0" applyNumberFormat="1" applyFill="1" applyBorder="1"/>
    <xf numFmtId="49" fontId="0" fillId="0" borderId="45" xfId="0" applyNumberFormat="1" applyBorder="1" applyAlignment="1">
      <alignment horizontal="center"/>
    </xf>
    <xf numFmtId="49" fontId="0" fillId="0" borderId="0" xfId="0" applyNumberFormat="1"/>
    <xf numFmtId="49" fontId="2" fillId="0" borderId="46" xfId="0" applyNumberFormat="1" applyFont="1" applyBorder="1"/>
    <xf numFmtId="14" fontId="2" fillId="0" borderId="46" xfId="0" applyNumberFormat="1" applyFont="1" applyBorder="1"/>
    <xf numFmtId="0" fontId="2" fillId="0" borderId="46" xfId="0" applyFont="1" applyBorder="1"/>
    <xf numFmtId="49" fontId="2" fillId="0" borderId="46" xfId="0" applyNumberFormat="1" applyFont="1" applyBorder="1" applyAlignment="1">
      <alignment horizontal="right"/>
    </xf>
    <xf numFmtId="44" fontId="2" fillId="0" borderId="46" xfId="1" applyFont="1" applyBorder="1"/>
    <xf numFmtId="0" fontId="2" fillId="0" borderId="47" xfId="0" applyFont="1" applyBorder="1"/>
    <xf numFmtId="164" fontId="3" fillId="0" borderId="46" xfId="0" applyNumberFormat="1" applyFont="1" applyBorder="1" applyAlignment="1">
      <alignment horizontal="right"/>
    </xf>
    <xf numFmtId="0" fontId="2" fillId="0" borderId="45" xfId="0" applyFont="1" applyBorder="1"/>
    <xf numFmtId="0" fontId="2" fillId="0" borderId="48" xfId="0" applyFont="1" applyBorder="1"/>
    <xf numFmtId="49" fontId="2" fillId="0" borderId="45" xfId="0" applyNumberFormat="1" applyFont="1" applyBorder="1"/>
    <xf numFmtId="164" fontId="3" fillId="0" borderId="45" xfId="0" applyNumberFormat="1" applyFont="1" applyBorder="1" applyAlignment="1">
      <alignment horizontal="right"/>
    </xf>
    <xf numFmtId="164" fontId="2" fillId="0" borderId="45" xfId="0" applyNumberFormat="1" applyFont="1" applyBorder="1"/>
    <xf numFmtId="14" fontId="2" fillId="0" borderId="46" xfId="0" applyNumberFormat="1" applyFont="1" applyFill="1" applyBorder="1"/>
    <xf numFmtId="0" fontId="2" fillId="0" borderId="46" xfId="0" applyFont="1" applyFill="1" applyBorder="1"/>
    <xf numFmtId="49" fontId="2" fillId="0" borderId="46" xfId="0" applyNumberFormat="1" applyFont="1" applyFill="1" applyBorder="1" applyAlignment="1">
      <alignment horizontal="right"/>
    </xf>
    <xf numFmtId="44" fontId="2" fillId="0" borderId="46" xfId="1" applyFont="1" applyFill="1" applyBorder="1"/>
    <xf numFmtId="44" fontId="2" fillId="0" borderId="46" xfId="0" applyNumberFormat="1" applyFont="1" applyBorder="1" applyAlignment="1">
      <alignment horizontal="center" vertical="center"/>
    </xf>
    <xf numFmtId="44" fontId="2" fillId="0" borderId="46" xfId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right"/>
    </xf>
    <xf numFmtId="49" fontId="2" fillId="0" borderId="52" xfId="0" applyNumberFormat="1" applyFont="1" applyBorder="1"/>
    <xf numFmtId="14" fontId="2" fillId="0" borderId="52" xfId="0" applyNumberFormat="1" applyFont="1" applyFill="1" applyBorder="1"/>
    <xf numFmtId="0" fontId="2" fillId="0" borderId="52" xfId="0" applyFont="1" applyFill="1" applyBorder="1"/>
    <xf numFmtId="49" fontId="2" fillId="0" borderId="52" xfId="0" applyNumberFormat="1" applyFont="1" applyFill="1" applyBorder="1" applyAlignment="1">
      <alignment horizontal="right"/>
    </xf>
    <xf numFmtId="44" fontId="2" fillId="0" borderId="52" xfId="1" applyFont="1" applyFill="1" applyBorder="1"/>
    <xf numFmtId="44" fontId="2" fillId="0" borderId="52" xfId="1" applyFont="1" applyBorder="1"/>
    <xf numFmtId="0" fontId="2" fillId="0" borderId="52" xfId="0" applyFont="1" applyBorder="1"/>
    <xf numFmtId="164" fontId="3" fillId="0" borderId="52" xfId="0" applyNumberFormat="1" applyFont="1" applyBorder="1" applyAlignment="1">
      <alignment horizontal="right"/>
    </xf>
    <xf numFmtId="49" fontId="2" fillId="0" borderId="1" xfId="0" applyNumberFormat="1" applyFont="1" applyBorder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2" fillId="0" borderId="12" xfId="0" applyNumberFormat="1" applyFont="1" applyBorder="1" applyAlignment="1">
      <alignment horizontal="right"/>
    </xf>
    <xf numFmtId="44" fontId="2" fillId="0" borderId="1" xfId="1" applyFont="1" applyBorder="1"/>
    <xf numFmtId="0" fontId="2" fillId="0" borderId="8" xfId="0" applyFont="1" applyBorder="1"/>
    <xf numFmtId="0" fontId="2" fillId="0" borderId="5" xfId="0" applyFont="1" applyBorder="1"/>
    <xf numFmtId="164" fontId="3" fillId="0" borderId="5" xfId="0" applyNumberFormat="1" applyFont="1" applyBorder="1" applyAlignment="1">
      <alignment horizontal="right"/>
    </xf>
    <xf numFmtId="14" fontId="2" fillId="0" borderId="1" xfId="0" applyNumberFormat="1" applyFont="1" applyFill="1" applyBorder="1"/>
    <xf numFmtId="0" fontId="2" fillId="0" borderId="1" xfId="0" applyFont="1" applyFill="1" applyBorder="1"/>
    <xf numFmtId="49" fontId="2" fillId="0" borderId="12" xfId="0" applyNumberFormat="1" applyFont="1" applyFill="1" applyBorder="1" applyAlignment="1">
      <alignment horizontal="right"/>
    </xf>
    <xf numFmtId="44" fontId="2" fillId="0" borderId="1" xfId="1" applyFont="1" applyFill="1" applyBorder="1"/>
    <xf numFmtId="49" fontId="3" fillId="2" borderId="1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 vertical="center"/>
    </xf>
    <xf numFmtId="0" fontId="33" fillId="0" borderId="50" xfId="4" applyFont="1" applyBorder="1"/>
    <xf numFmtId="44" fontId="50" fillId="0" borderId="51" xfId="1" applyFont="1" applyBorder="1"/>
    <xf numFmtId="172" fontId="35" fillId="0" borderId="51" xfId="3" applyNumberFormat="1" applyFont="1" applyFill="1" applyBorder="1"/>
    <xf numFmtId="44" fontId="33" fillId="0" borderId="12" xfId="4" applyNumberFormat="1" applyFont="1"/>
    <xf numFmtId="14" fontId="35" fillId="0" borderId="53" xfId="2" applyNumberFormat="1" applyFont="1" applyBorder="1"/>
    <xf numFmtId="0" fontId="36" fillId="0" borderId="53" xfId="4" applyFont="1" applyBorder="1"/>
    <xf numFmtId="0" fontId="35" fillId="0" borderId="53" xfId="2" applyFont="1" applyBorder="1"/>
    <xf numFmtId="44" fontId="34" fillId="0" borderId="53" xfId="1" applyFont="1" applyFill="1" applyBorder="1"/>
    <xf numFmtId="44" fontId="33" fillId="0" borderId="53" xfId="4" applyNumberFormat="1" applyFont="1" applyBorder="1"/>
    <xf numFmtId="44" fontId="35" fillId="0" borderId="53" xfId="1" applyFont="1" applyFill="1" applyBorder="1"/>
    <xf numFmtId="44" fontId="39" fillId="0" borderId="53" xfId="1" applyFont="1" applyFill="1" applyBorder="1"/>
    <xf numFmtId="172" fontId="41" fillId="0" borderId="53" xfId="3" applyNumberFormat="1" applyFont="1" applyFill="1" applyBorder="1"/>
    <xf numFmtId="0" fontId="33" fillId="0" borderId="44" xfId="2" applyFont="1" applyBorder="1"/>
    <xf numFmtId="0" fontId="36" fillId="0" borderId="54" xfId="4" applyFont="1" applyBorder="1"/>
    <xf numFmtId="0" fontId="35" fillId="0" borderId="54" xfId="2" applyFont="1" applyBorder="1"/>
    <xf numFmtId="44" fontId="34" fillId="0" borderId="54" xfId="1" applyFont="1" applyFill="1" applyBorder="1"/>
    <xf numFmtId="44" fontId="50" fillId="0" borderId="54" xfId="1" applyFont="1" applyBorder="1"/>
    <xf numFmtId="44" fontId="35" fillId="0" borderId="54" xfId="1" applyFont="1" applyFill="1" applyBorder="1"/>
    <xf numFmtId="44" fontId="39" fillId="0" borderId="54" xfId="1" applyFont="1" applyFill="1" applyBorder="1"/>
    <xf numFmtId="172" fontId="35" fillId="0" borderId="54" xfId="3" applyNumberFormat="1" applyFont="1" applyFill="1" applyBorder="1"/>
    <xf numFmtId="49" fontId="2" fillId="3" borderId="27" xfId="0" applyNumberFormat="1" applyFont="1" applyFill="1" applyBorder="1" applyAlignment="1">
      <alignment horizontal="right"/>
    </xf>
    <xf numFmtId="0" fontId="2" fillId="3" borderId="27" xfId="0" applyFont="1" applyFill="1" applyBorder="1" applyAlignment="1">
      <alignment horizontal="right"/>
    </xf>
    <xf numFmtId="0" fontId="11" fillId="3" borderId="27" xfId="0" applyFont="1" applyFill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14" fontId="35" fillId="0" borderId="54" xfId="2" applyNumberFormat="1" applyFont="1" applyBorder="1"/>
    <xf numFmtId="14" fontId="35" fillId="0" borderId="55" xfId="2" applyNumberFormat="1" applyFont="1" applyBorder="1" applyAlignment="1">
      <alignment horizontal="right" vertical="center"/>
    </xf>
    <xf numFmtId="0" fontId="36" fillId="0" borderId="55" xfId="4" applyFont="1" applyBorder="1"/>
    <xf numFmtId="0" fontId="35" fillId="0" borderId="55" xfId="2" applyFont="1" applyBorder="1"/>
    <xf numFmtId="44" fontId="34" fillId="0" borderId="55" xfId="1" applyFont="1" applyFill="1" applyBorder="1"/>
    <xf numFmtId="44" fontId="50" fillId="0" borderId="55" xfId="1" applyFont="1" applyBorder="1"/>
    <xf numFmtId="44" fontId="35" fillId="0" borderId="55" xfId="1" applyFont="1" applyFill="1" applyBorder="1"/>
    <xf numFmtId="44" fontId="39" fillId="0" borderId="55" xfId="1" applyFont="1" applyFill="1" applyBorder="1"/>
    <xf numFmtId="172" fontId="35" fillId="0" borderId="55" xfId="3" applyNumberFormat="1" applyFont="1" applyFill="1" applyBorder="1"/>
    <xf numFmtId="14" fontId="35" fillId="0" borderId="55" xfId="2" applyNumberFormat="1" applyFont="1" applyBorder="1"/>
    <xf numFmtId="172" fontId="42" fillId="0" borderId="55" xfId="3" applyNumberFormat="1" applyFont="1" applyFill="1" applyBorder="1"/>
    <xf numFmtId="172" fontId="42" fillId="0" borderId="54" xfId="3" applyNumberFormat="1" applyFont="1" applyFill="1" applyBorder="1"/>
    <xf numFmtId="44" fontId="35" fillId="0" borderId="55" xfId="1" applyFont="1" applyFill="1" applyBorder="1" applyAlignment="1">
      <alignment horizontal="center"/>
    </xf>
    <xf numFmtId="0" fontId="32" fillId="20" borderId="37" xfId="4" applyFont="1" applyFill="1" applyBorder="1" applyAlignment="1">
      <alignment horizontal="center"/>
    </xf>
  </cellXfs>
  <cellStyles count="5">
    <cellStyle name="Normal" xfId="0" builtinId="0"/>
    <cellStyle name="Normal 2" xfId="2" xr:uid="{25FFC6D8-5A67-4508-A07D-7DA2CB3A7514}"/>
    <cellStyle name="Normal 3" xfId="4" xr:uid="{85546FEA-8027-4AFD-AA46-E414DDA94670}"/>
    <cellStyle name="ParaBirimi" xfId="1" builtinId="4"/>
    <cellStyle name="Virgül 2" xfId="3" xr:uid="{45A8612A-8796-4851-B057-4B6C48B45518}"/>
  </cellStyles>
  <dxfs count="31"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00B0F0"/>
      <rgbColor rgb="FFAAAAAA"/>
      <rgbColor rgb="FFFFFFFF"/>
      <rgbColor rgb="FFC5DEB5"/>
      <rgbColor rgb="FF70AD47"/>
      <rgbColor rgb="FFFFFF00"/>
      <rgbColor rgb="FFC00000"/>
      <rgbColor rgb="FFFF7474"/>
      <rgbColor rgb="FFED7D31"/>
      <rgbColor rgb="FF4472C4"/>
      <rgbColor rgb="FFD8D8D8"/>
      <rgbColor rgb="FFB4C6E7"/>
      <rgbColor rgb="FFF4B083"/>
      <rgbColor rgb="FFFFD965"/>
      <rgbColor rgb="FFB15D24"/>
      <rgbColor rgb="FFFFC000"/>
      <rgbColor rgb="FFA5A5A5"/>
      <rgbColor rgb="FF5B9BD5"/>
      <rgbColor rgb="FFFF000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20</xdr:row>
      <xdr:rowOff>137160</xdr:rowOff>
    </xdr:from>
    <xdr:to>
      <xdr:col>7</xdr:col>
      <xdr:colOff>891540</xdr:colOff>
      <xdr:row>27</xdr:row>
      <xdr:rowOff>121920</xdr:rowOff>
    </xdr:to>
    <xdr:cxnSp macro="">
      <xdr:nvCxnSpPr>
        <xdr:cNvPr id="3" name="Düz Ok Bağlayıcısı 2">
          <a:extLst>
            <a:ext uri="{FF2B5EF4-FFF2-40B4-BE49-F238E27FC236}">
              <a16:creationId xmlns:a16="http://schemas.microsoft.com/office/drawing/2014/main" id="{4C5469A5-06E3-06CD-350E-C414FB303367}"/>
            </a:ext>
          </a:extLst>
        </xdr:cNvPr>
        <xdr:cNvCxnSpPr/>
      </xdr:nvCxnSpPr>
      <xdr:spPr>
        <a:xfrm>
          <a:off x="2179320" y="3642360"/>
          <a:ext cx="6362700" cy="115824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30</xdr:row>
      <xdr:rowOff>57150</xdr:rowOff>
    </xdr:from>
    <xdr:to>
      <xdr:col>7</xdr:col>
      <xdr:colOff>1400175</xdr:colOff>
      <xdr:row>31</xdr:row>
      <xdr:rowOff>95250</xdr:rowOff>
    </xdr:to>
    <xdr:cxnSp macro="">
      <xdr:nvCxnSpPr>
        <xdr:cNvPr id="2" name="Düz Ok Bağlayıcısı 1">
          <a:extLst>
            <a:ext uri="{FF2B5EF4-FFF2-40B4-BE49-F238E27FC236}">
              <a16:creationId xmlns:a16="http://schemas.microsoft.com/office/drawing/2014/main" id="{D387E59E-5998-45ED-A3BB-A7DD9EF43BC4}"/>
            </a:ext>
          </a:extLst>
        </xdr:cNvPr>
        <xdr:cNvCxnSpPr/>
      </xdr:nvCxnSpPr>
      <xdr:spPr>
        <a:xfrm>
          <a:off x="2009775" y="5343525"/>
          <a:ext cx="6829425" cy="2095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245745</xdr:colOff>
      <xdr:row>33</xdr:row>
      <xdr:rowOff>108585</xdr:rowOff>
    </xdr:from>
    <xdr:to>
      <xdr:col>7</xdr:col>
      <xdr:colOff>809625</xdr:colOff>
      <xdr:row>40</xdr:row>
      <xdr:rowOff>93345</xdr:rowOff>
    </xdr:to>
    <xdr:cxnSp macro="">
      <xdr:nvCxnSpPr>
        <xdr:cNvPr id="6" name="Düz Ok Bağlayıcısı 5">
          <a:extLst>
            <a:ext uri="{FF2B5EF4-FFF2-40B4-BE49-F238E27FC236}">
              <a16:creationId xmlns:a16="http://schemas.microsoft.com/office/drawing/2014/main" id="{6A3394F6-3844-4CF3-B657-EDAE872FF13C}"/>
            </a:ext>
          </a:extLst>
        </xdr:cNvPr>
        <xdr:cNvCxnSpPr/>
      </xdr:nvCxnSpPr>
      <xdr:spPr>
        <a:xfrm>
          <a:off x="2045970" y="5909310"/>
          <a:ext cx="6202680" cy="118491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42</xdr:row>
      <xdr:rowOff>152400</xdr:rowOff>
    </xdr:from>
    <xdr:to>
      <xdr:col>7</xdr:col>
      <xdr:colOff>1047750</xdr:colOff>
      <xdr:row>48</xdr:row>
      <xdr:rowOff>7620</xdr:rowOff>
    </xdr:to>
    <xdr:cxnSp macro="">
      <xdr:nvCxnSpPr>
        <xdr:cNvPr id="7" name="Düz Ok Bağlayıcısı 6">
          <a:extLst>
            <a:ext uri="{FF2B5EF4-FFF2-40B4-BE49-F238E27FC236}">
              <a16:creationId xmlns:a16="http://schemas.microsoft.com/office/drawing/2014/main" id="{3A665E64-B442-4658-BE77-F0622BEB6FED}"/>
            </a:ext>
          </a:extLst>
        </xdr:cNvPr>
        <xdr:cNvCxnSpPr/>
      </xdr:nvCxnSpPr>
      <xdr:spPr>
        <a:xfrm>
          <a:off x="2028825" y="7496175"/>
          <a:ext cx="6457950" cy="88392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51</xdr:row>
      <xdr:rowOff>66675</xdr:rowOff>
    </xdr:from>
    <xdr:to>
      <xdr:col>7</xdr:col>
      <xdr:colOff>1019175</xdr:colOff>
      <xdr:row>56</xdr:row>
      <xdr:rowOff>93345</xdr:rowOff>
    </xdr:to>
    <xdr:cxnSp macro="">
      <xdr:nvCxnSpPr>
        <xdr:cNvPr id="9" name="Düz Ok Bağlayıcısı 8">
          <a:extLst>
            <a:ext uri="{FF2B5EF4-FFF2-40B4-BE49-F238E27FC236}">
              <a16:creationId xmlns:a16="http://schemas.microsoft.com/office/drawing/2014/main" id="{88FB0F0B-B600-4F7D-ADE1-2DF7C76B99A3}"/>
            </a:ext>
          </a:extLst>
        </xdr:cNvPr>
        <xdr:cNvCxnSpPr/>
      </xdr:nvCxnSpPr>
      <xdr:spPr>
        <a:xfrm>
          <a:off x="2000250" y="8953500"/>
          <a:ext cx="6457950" cy="88392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60</xdr:row>
      <xdr:rowOff>0</xdr:rowOff>
    </xdr:from>
    <xdr:to>
      <xdr:col>7</xdr:col>
      <xdr:colOff>876300</xdr:colOff>
      <xdr:row>65</xdr:row>
      <xdr:rowOff>26670</xdr:rowOff>
    </xdr:to>
    <xdr:cxnSp macro="">
      <xdr:nvCxnSpPr>
        <xdr:cNvPr id="10" name="Düz Ok Bağlayıcısı 9">
          <a:extLst>
            <a:ext uri="{FF2B5EF4-FFF2-40B4-BE49-F238E27FC236}">
              <a16:creationId xmlns:a16="http://schemas.microsoft.com/office/drawing/2014/main" id="{90A25D6F-CF17-4FD7-8BD2-685B0DECBDBF}"/>
            </a:ext>
          </a:extLst>
        </xdr:cNvPr>
        <xdr:cNvCxnSpPr/>
      </xdr:nvCxnSpPr>
      <xdr:spPr>
        <a:xfrm>
          <a:off x="1857375" y="10429875"/>
          <a:ext cx="6457950" cy="88392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70</xdr:row>
      <xdr:rowOff>9525</xdr:rowOff>
    </xdr:from>
    <xdr:to>
      <xdr:col>7</xdr:col>
      <xdr:colOff>1076325</xdr:colOff>
      <xdr:row>75</xdr:row>
      <xdr:rowOff>36195</xdr:rowOff>
    </xdr:to>
    <xdr:cxnSp macro="">
      <xdr:nvCxnSpPr>
        <xdr:cNvPr id="11" name="Düz Ok Bağlayıcısı 10">
          <a:extLst>
            <a:ext uri="{FF2B5EF4-FFF2-40B4-BE49-F238E27FC236}">
              <a16:creationId xmlns:a16="http://schemas.microsoft.com/office/drawing/2014/main" id="{46CE88ED-D8BC-45F5-B3D7-31BA0B0C8454}"/>
            </a:ext>
          </a:extLst>
        </xdr:cNvPr>
        <xdr:cNvCxnSpPr/>
      </xdr:nvCxnSpPr>
      <xdr:spPr>
        <a:xfrm>
          <a:off x="2057400" y="12153900"/>
          <a:ext cx="6457950" cy="88392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80</xdr:row>
      <xdr:rowOff>19050</xdr:rowOff>
    </xdr:from>
    <xdr:to>
      <xdr:col>7</xdr:col>
      <xdr:colOff>962025</xdr:colOff>
      <xdr:row>85</xdr:row>
      <xdr:rowOff>45720</xdr:rowOff>
    </xdr:to>
    <xdr:cxnSp macro="">
      <xdr:nvCxnSpPr>
        <xdr:cNvPr id="12" name="Düz Ok Bağlayıcısı 11">
          <a:extLst>
            <a:ext uri="{FF2B5EF4-FFF2-40B4-BE49-F238E27FC236}">
              <a16:creationId xmlns:a16="http://schemas.microsoft.com/office/drawing/2014/main" id="{7B665A51-D6D5-4290-9F3F-EA9DBE9C7400}"/>
            </a:ext>
          </a:extLst>
        </xdr:cNvPr>
        <xdr:cNvCxnSpPr/>
      </xdr:nvCxnSpPr>
      <xdr:spPr>
        <a:xfrm>
          <a:off x="1943100" y="13877925"/>
          <a:ext cx="6457950" cy="88392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114</xdr:row>
      <xdr:rowOff>123825</xdr:rowOff>
    </xdr:from>
    <xdr:to>
      <xdr:col>7</xdr:col>
      <xdr:colOff>1066800</xdr:colOff>
      <xdr:row>117</xdr:row>
      <xdr:rowOff>140970</xdr:rowOff>
    </xdr:to>
    <xdr:cxnSp macro="">
      <xdr:nvCxnSpPr>
        <xdr:cNvPr id="13" name="Düz Ok Bağlayıcısı 12">
          <a:extLst>
            <a:ext uri="{FF2B5EF4-FFF2-40B4-BE49-F238E27FC236}">
              <a16:creationId xmlns:a16="http://schemas.microsoft.com/office/drawing/2014/main" id="{A7282AFE-C506-4F5F-BE43-34DDB22E66D4}"/>
            </a:ext>
          </a:extLst>
        </xdr:cNvPr>
        <xdr:cNvCxnSpPr/>
      </xdr:nvCxnSpPr>
      <xdr:spPr>
        <a:xfrm>
          <a:off x="1952625" y="19812000"/>
          <a:ext cx="6553200" cy="53149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329565</xdr:colOff>
      <xdr:row>119</xdr:row>
      <xdr:rowOff>160020</xdr:rowOff>
    </xdr:from>
    <xdr:to>
      <xdr:col>7</xdr:col>
      <xdr:colOff>960120</xdr:colOff>
      <xdr:row>144</xdr:row>
      <xdr:rowOff>121920</xdr:rowOff>
    </xdr:to>
    <xdr:cxnSp macro="">
      <xdr:nvCxnSpPr>
        <xdr:cNvPr id="4" name="Düz Ok Bağlayıcısı 3">
          <a:extLst>
            <a:ext uri="{FF2B5EF4-FFF2-40B4-BE49-F238E27FC236}">
              <a16:creationId xmlns:a16="http://schemas.microsoft.com/office/drawing/2014/main" id="{E6D9871A-0067-4FBA-8D00-9224E5C0398F}"/>
            </a:ext>
          </a:extLst>
        </xdr:cNvPr>
        <xdr:cNvCxnSpPr/>
      </xdr:nvCxnSpPr>
      <xdr:spPr>
        <a:xfrm>
          <a:off x="329565" y="20261580"/>
          <a:ext cx="8265795" cy="416814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108</xdr:row>
      <xdr:rowOff>30480</xdr:rowOff>
    </xdr:from>
    <xdr:to>
      <xdr:col>7</xdr:col>
      <xdr:colOff>139065</xdr:colOff>
      <xdr:row>111</xdr:row>
      <xdr:rowOff>47625</xdr:rowOff>
    </xdr:to>
    <xdr:cxnSp macro="">
      <xdr:nvCxnSpPr>
        <xdr:cNvPr id="8" name="Düz Ok Bağlayıcısı 7">
          <a:extLst>
            <a:ext uri="{FF2B5EF4-FFF2-40B4-BE49-F238E27FC236}">
              <a16:creationId xmlns:a16="http://schemas.microsoft.com/office/drawing/2014/main" id="{AF9454FF-47D2-4923-B0BA-140C5369AB05}"/>
            </a:ext>
          </a:extLst>
        </xdr:cNvPr>
        <xdr:cNvCxnSpPr/>
      </xdr:nvCxnSpPr>
      <xdr:spPr>
        <a:xfrm>
          <a:off x="1076325" y="18288000"/>
          <a:ext cx="6697980" cy="52006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901065</xdr:colOff>
      <xdr:row>99</xdr:row>
      <xdr:rowOff>0</xdr:rowOff>
    </xdr:from>
    <xdr:to>
      <xdr:col>6</xdr:col>
      <xdr:colOff>1381125</xdr:colOff>
      <xdr:row>102</xdr:row>
      <xdr:rowOff>17145</xdr:rowOff>
    </xdr:to>
    <xdr:cxnSp macro="">
      <xdr:nvCxnSpPr>
        <xdr:cNvPr id="14" name="Düz Ok Bağlayıcısı 13">
          <a:extLst>
            <a:ext uri="{FF2B5EF4-FFF2-40B4-BE49-F238E27FC236}">
              <a16:creationId xmlns:a16="http://schemas.microsoft.com/office/drawing/2014/main" id="{56325CC0-6877-46A9-A0F3-90BFE93B34A6}"/>
            </a:ext>
          </a:extLst>
        </xdr:cNvPr>
        <xdr:cNvCxnSpPr/>
      </xdr:nvCxnSpPr>
      <xdr:spPr>
        <a:xfrm>
          <a:off x="901065" y="16748760"/>
          <a:ext cx="6697980" cy="52006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100965</xdr:colOff>
      <xdr:row>90</xdr:row>
      <xdr:rowOff>7620</xdr:rowOff>
    </xdr:from>
    <xdr:to>
      <xdr:col>7</xdr:col>
      <xdr:colOff>78105</xdr:colOff>
      <xdr:row>93</xdr:row>
      <xdr:rowOff>24765</xdr:rowOff>
    </xdr:to>
    <xdr:cxnSp macro="">
      <xdr:nvCxnSpPr>
        <xdr:cNvPr id="15" name="Düz Ok Bağlayıcısı 14">
          <a:extLst>
            <a:ext uri="{FF2B5EF4-FFF2-40B4-BE49-F238E27FC236}">
              <a16:creationId xmlns:a16="http://schemas.microsoft.com/office/drawing/2014/main" id="{A3DF8DB0-2BD6-4BF4-A5F3-B45289025593}"/>
            </a:ext>
          </a:extLst>
        </xdr:cNvPr>
        <xdr:cNvCxnSpPr/>
      </xdr:nvCxnSpPr>
      <xdr:spPr>
        <a:xfrm>
          <a:off x="1015365" y="15247620"/>
          <a:ext cx="6697980" cy="52006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73"/>
  <sheetViews>
    <sheetView showGridLines="0" zoomScale="80" zoomScaleNormal="80" workbookViewId="0">
      <selection activeCell="G32" sqref="G32"/>
    </sheetView>
  </sheetViews>
  <sheetFormatPr baseColWidth="10" defaultColWidth="22.1640625" defaultRowHeight="15.75" customHeight="1"/>
  <cols>
    <col min="1" max="1" width="14.33203125" style="1" customWidth="1"/>
    <col min="2" max="3" width="8.33203125" style="1" customWidth="1"/>
    <col min="4" max="4" width="43.33203125" style="1" customWidth="1"/>
    <col min="5" max="5" width="28.5" style="1" customWidth="1"/>
    <col min="6" max="6" width="19.5" style="1" customWidth="1"/>
    <col min="7" max="7" width="18.5" style="1" customWidth="1"/>
    <col min="8" max="9" width="18.1640625" style="1" customWidth="1"/>
    <col min="10" max="10" width="28.6640625" style="1" customWidth="1"/>
    <col min="11" max="11" width="18.33203125" style="1" bestFit="1" customWidth="1"/>
    <col min="12" max="12" width="21.5" style="1" customWidth="1"/>
    <col min="13" max="13" width="22.1640625" style="1" customWidth="1"/>
    <col min="14" max="14" width="22.1640625" style="1"/>
    <col min="15" max="15" width="24.5" style="1" bestFit="1" customWidth="1"/>
    <col min="16" max="16384" width="22.1640625" style="1"/>
  </cols>
  <sheetData>
    <row r="1" spans="1:15" ht="27" customHeight="1">
      <c r="A1" s="103" t="s">
        <v>261</v>
      </c>
      <c r="B1" s="2" t="s">
        <v>1</v>
      </c>
      <c r="C1" s="2" t="s">
        <v>1</v>
      </c>
      <c r="D1" s="2" t="s">
        <v>2</v>
      </c>
      <c r="E1" s="141" t="s">
        <v>27</v>
      </c>
      <c r="F1" s="23" t="s">
        <v>3</v>
      </c>
      <c r="G1" s="2" t="s">
        <v>4</v>
      </c>
      <c r="H1" s="3" t="s">
        <v>5</v>
      </c>
      <c r="I1" s="3" t="s">
        <v>407</v>
      </c>
      <c r="J1" s="503" t="s">
        <v>6</v>
      </c>
      <c r="K1" s="4" t="s">
        <v>7</v>
      </c>
      <c r="L1" s="504" t="s">
        <v>8</v>
      </c>
    </row>
    <row r="2" spans="1:15" ht="15.5" hidden="1" customHeight="1">
      <c r="A2" s="6">
        <v>45947</v>
      </c>
      <c r="B2" s="7" t="s">
        <v>13</v>
      </c>
      <c r="C2" s="7" t="s">
        <v>14</v>
      </c>
      <c r="D2" s="211" t="s">
        <v>258</v>
      </c>
      <c r="E2" s="211" t="s">
        <v>409</v>
      </c>
      <c r="F2" s="9">
        <v>225400</v>
      </c>
      <c r="G2" s="9"/>
      <c r="H2" s="210">
        <v>225400</v>
      </c>
      <c r="I2" s="11"/>
      <c r="J2" s="12">
        <f t="shared" ref="J2:J49" si="0">F2-G2-H2</f>
        <v>0</v>
      </c>
      <c r="K2" s="12"/>
      <c r="L2" s="7"/>
    </row>
    <row r="3" spans="1:15" ht="15.5" hidden="1" customHeight="1">
      <c r="A3" s="14">
        <v>45947</v>
      </c>
      <c r="B3" s="15" t="s">
        <v>13</v>
      </c>
      <c r="C3" s="102" t="s">
        <v>265</v>
      </c>
      <c r="D3" s="211" t="s">
        <v>266</v>
      </c>
      <c r="E3" s="211" t="s">
        <v>409</v>
      </c>
      <c r="F3" s="17">
        <v>3526245</v>
      </c>
      <c r="G3" s="17">
        <v>1970000</v>
      </c>
      <c r="H3" s="18">
        <v>1556245</v>
      </c>
      <c r="I3" s="19"/>
      <c r="J3" s="20">
        <f t="shared" si="0"/>
        <v>0</v>
      </c>
      <c r="K3" s="19"/>
      <c r="L3" s="20"/>
      <c r="N3" s="182">
        <f>J3</f>
        <v>0</v>
      </c>
      <c r="O3" s="178">
        <f>N3+H3</f>
        <v>1556245</v>
      </c>
    </row>
    <row r="4" spans="1:15" ht="15.5" customHeight="1">
      <c r="A4" s="6">
        <v>46010</v>
      </c>
      <c r="B4" s="7" t="s">
        <v>15</v>
      </c>
      <c r="C4" s="7" t="s">
        <v>14</v>
      </c>
      <c r="D4" s="8" t="s">
        <v>260</v>
      </c>
      <c r="E4" s="8"/>
      <c r="F4" s="9">
        <v>219000</v>
      </c>
      <c r="G4" s="9"/>
      <c r="H4" s="10">
        <v>219000</v>
      </c>
      <c r="I4" s="11" t="s">
        <v>408</v>
      </c>
      <c r="J4" s="12">
        <f t="shared" si="0"/>
        <v>0</v>
      </c>
      <c r="K4" s="12"/>
      <c r="L4" s="7"/>
    </row>
    <row r="5" spans="1:15" ht="15.5" customHeight="1">
      <c r="A5" s="14">
        <v>45991</v>
      </c>
      <c r="B5" s="15" t="s">
        <v>13</v>
      </c>
      <c r="C5" s="102" t="s">
        <v>14</v>
      </c>
      <c r="D5" s="16" t="s">
        <v>270</v>
      </c>
      <c r="E5" s="16"/>
      <c r="F5" s="17">
        <v>750000</v>
      </c>
      <c r="G5" s="17"/>
      <c r="H5" s="18">
        <v>300000</v>
      </c>
      <c r="I5" s="19"/>
      <c r="J5" s="20">
        <f t="shared" si="0"/>
        <v>450000</v>
      </c>
      <c r="K5" s="20"/>
      <c r="L5" s="20"/>
    </row>
    <row r="6" spans="1:15" ht="15.5" hidden="1" customHeight="1">
      <c r="A6" s="6">
        <v>45968</v>
      </c>
      <c r="B6" s="7" t="s">
        <v>256</v>
      </c>
      <c r="C6" s="7" t="s">
        <v>14</v>
      </c>
      <c r="D6" s="211" t="s">
        <v>281</v>
      </c>
      <c r="E6" s="211" t="s">
        <v>409</v>
      </c>
      <c r="F6" s="9">
        <v>542750</v>
      </c>
      <c r="G6" s="9">
        <v>542750</v>
      </c>
      <c r="H6" s="10"/>
      <c r="I6" s="11"/>
      <c r="J6" s="12">
        <f t="shared" si="0"/>
        <v>0</v>
      </c>
      <c r="K6" s="12"/>
      <c r="L6" s="7"/>
    </row>
    <row r="7" spans="1:15" ht="15.5" hidden="1" customHeight="1">
      <c r="A7" s="14">
        <v>45972</v>
      </c>
      <c r="B7" s="15" t="s">
        <v>276</v>
      </c>
      <c r="C7" s="102" t="s">
        <v>14</v>
      </c>
      <c r="D7" s="211" t="s">
        <v>278</v>
      </c>
      <c r="E7" s="211" t="s">
        <v>409</v>
      </c>
      <c r="F7" s="17">
        <v>250000</v>
      </c>
      <c r="G7" s="17">
        <v>250000</v>
      </c>
      <c r="H7" s="18"/>
      <c r="I7" s="19"/>
      <c r="J7" s="20">
        <f t="shared" si="0"/>
        <v>0</v>
      </c>
      <c r="K7" s="20"/>
      <c r="L7" s="20"/>
    </row>
    <row r="8" spans="1:15" ht="15.5" customHeight="1">
      <c r="A8" s="6">
        <v>45972</v>
      </c>
      <c r="B8" s="7" t="s">
        <v>15</v>
      </c>
      <c r="C8" s="7" t="s">
        <v>14</v>
      </c>
      <c r="D8" s="8" t="s">
        <v>259</v>
      </c>
      <c r="E8" s="8"/>
      <c r="F8" s="9">
        <v>720000</v>
      </c>
      <c r="G8" s="9">
        <v>120000</v>
      </c>
      <c r="H8" s="10"/>
      <c r="I8" s="11"/>
      <c r="J8" s="12">
        <f t="shared" si="0"/>
        <v>600000</v>
      </c>
      <c r="K8" s="12"/>
      <c r="L8" s="7"/>
    </row>
    <row r="9" spans="1:15" ht="15.5" hidden="1" customHeight="1">
      <c r="A9" s="14">
        <v>45972</v>
      </c>
      <c r="B9" s="15" t="s">
        <v>13</v>
      </c>
      <c r="C9" s="102" t="s">
        <v>254</v>
      </c>
      <c r="D9" s="211" t="s">
        <v>264</v>
      </c>
      <c r="E9" s="211" t="s">
        <v>409</v>
      </c>
      <c r="F9" s="17">
        <v>35463.78</v>
      </c>
      <c r="G9" s="17">
        <v>35463.78</v>
      </c>
      <c r="H9" s="18"/>
      <c r="I9" s="19"/>
      <c r="J9" s="20">
        <f t="shared" si="0"/>
        <v>0</v>
      </c>
      <c r="K9" s="20"/>
      <c r="L9" s="20"/>
    </row>
    <row r="10" spans="1:15" ht="15.5" hidden="1" customHeight="1">
      <c r="A10" s="6">
        <v>45984</v>
      </c>
      <c r="B10" s="7" t="s">
        <v>13</v>
      </c>
      <c r="C10" s="7" t="s">
        <v>14</v>
      </c>
      <c r="D10" s="211" t="s">
        <v>263</v>
      </c>
      <c r="E10" s="211" t="s">
        <v>409</v>
      </c>
      <c r="F10" s="9">
        <v>648116</v>
      </c>
      <c r="G10" s="9">
        <v>648116</v>
      </c>
      <c r="H10" s="10"/>
      <c r="I10" s="11" t="s">
        <v>410</v>
      </c>
      <c r="J10" s="12">
        <f t="shared" si="0"/>
        <v>0</v>
      </c>
      <c r="K10" s="12"/>
      <c r="L10" s="7"/>
    </row>
    <row r="11" spans="1:15" ht="15.5" customHeight="1">
      <c r="A11" s="14">
        <v>46014</v>
      </c>
      <c r="B11" s="15" t="s">
        <v>276</v>
      </c>
      <c r="C11" s="102" t="s">
        <v>267</v>
      </c>
      <c r="D11" s="16" t="s">
        <v>277</v>
      </c>
      <c r="E11" s="16"/>
      <c r="F11" s="17">
        <v>1037075.73</v>
      </c>
      <c r="G11" s="17"/>
      <c r="H11" s="18">
        <v>700000</v>
      </c>
      <c r="I11" s="19"/>
      <c r="J11" s="20">
        <f t="shared" si="0"/>
        <v>337075.73</v>
      </c>
      <c r="K11" s="20"/>
      <c r="L11" s="20"/>
      <c r="N11" s="176">
        <f>J11</f>
        <v>337075.73</v>
      </c>
    </row>
    <row r="12" spans="1:15" ht="15.5" hidden="1" customHeight="1">
      <c r="A12" s="14">
        <v>45988</v>
      </c>
      <c r="B12" s="15" t="s">
        <v>13</v>
      </c>
      <c r="C12" s="102" t="s">
        <v>14</v>
      </c>
      <c r="D12" s="211" t="s">
        <v>262</v>
      </c>
      <c r="E12" s="211" t="s">
        <v>409</v>
      </c>
      <c r="F12" s="17">
        <v>232000</v>
      </c>
      <c r="G12" s="17">
        <v>232000</v>
      </c>
      <c r="H12" s="18"/>
      <c r="I12" s="19" t="s">
        <v>408</v>
      </c>
      <c r="J12" s="20">
        <f t="shared" si="0"/>
        <v>0</v>
      </c>
      <c r="K12" s="20"/>
      <c r="L12" s="20"/>
      <c r="N12" s="176">
        <f t="shared" ref="N12:N17" si="1">J12</f>
        <v>0</v>
      </c>
    </row>
    <row r="13" spans="1:15" ht="15.5" hidden="1" customHeight="1">
      <c r="A13" s="6">
        <v>45991</v>
      </c>
      <c r="B13" s="7" t="s">
        <v>256</v>
      </c>
      <c r="C13" s="7" t="s">
        <v>14</v>
      </c>
      <c r="D13" s="211" t="s">
        <v>269</v>
      </c>
      <c r="E13" s="211" t="s">
        <v>409</v>
      </c>
      <c r="F13" s="9">
        <v>650000</v>
      </c>
      <c r="G13" s="209">
        <v>650000</v>
      </c>
      <c r="H13" s="10"/>
      <c r="I13" s="11"/>
      <c r="J13" s="12">
        <f t="shared" si="0"/>
        <v>0</v>
      </c>
      <c r="K13" s="12"/>
      <c r="L13" s="7"/>
      <c r="N13" s="181">
        <f t="shared" si="1"/>
        <v>0</v>
      </c>
    </row>
    <row r="14" spans="1:15" ht="15.5" hidden="1" customHeight="1">
      <c r="A14" s="14">
        <v>45997</v>
      </c>
      <c r="B14" s="15" t="s">
        <v>276</v>
      </c>
      <c r="C14" s="102" t="s">
        <v>267</v>
      </c>
      <c r="D14" s="211" t="s">
        <v>280</v>
      </c>
      <c r="E14" s="211" t="s">
        <v>409</v>
      </c>
      <c r="F14" s="17">
        <v>180000</v>
      </c>
      <c r="G14" s="209">
        <v>180000</v>
      </c>
      <c r="H14" s="18"/>
      <c r="I14" s="19" t="s">
        <v>411</v>
      </c>
      <c r="J14" s="20">
        <f t="shared" si="0"/>
        <v>0</v>
      </c>
      <c r="K14" s="20"/>
      <c r="L14" s="20"/>
      <c r="N14" s="176">
        <f t="shared" si="1"/>
        <v>0</v>
      </c>
    </row>
    <row r="15" spans="1:15" ht="15.5" hidden="1" customHeight="1">
      <c r="A15" s="6">
        <v>45998</v>
      </c>
      <c r="B15" s="7" t="s">
        <v>256</v>
      </c>
      <c r="C15" s="7" t="s">
        <v>14</v>
      </c>
      <c r="D15" s="211" t="s">
        <v>273</v>
      </c>
      <c r="E15" s="211" t="s">
        <v>409</v>
      </c>
      <c r="F15" s="9">
        <v>800000</v>
      </c>
      <c r="G15" s="9">
        <v>800000</v>
      </c>
      <c r="H15" s="10"/>
      <c r="I15" s="11"/>
      <c r="J15" s="12">
        <f t="shared" si="0"/>
        <v>0</v>
      </c>
      <c r="K15" s="12"/>
      <c r="L15" s="7"/>
      <c r="N15" s="182">
        <f t="shared" si="1"/>
        <v>0</v>
      </c>
    </row>
    <row r="16" spans="1:15" ht="15.5" hidden="1" customHeight="1">
      <c r="A16" s="14">
        <v>45999</v>
      </c>
      <c r="B16" s="15" t="s">
        <v>256</v>
      </c>
      <c r="C16" s="102" t="s">
        <v>14</v>
      </c>
      <c r="D16" s="211" t="s">
        <v>275</v>
      </c>
      <c r="E16" s="211" t="s">
        <v>409</v>
      </c>
      <c r="F16" s="17">
        <v>425000</v>
      </c>
      <c r="G16" s="209">
        <v>425000</v>
      </c>
      <c r="H16" s="18"/>
      <c r="I16" s="19"/>
      <c r="J16" s="20">
        <f t="shared" si="0"/>
        <v>0</v>
      </c>
      <c r="K16" s="20"/>
      <c r="L16" s="20"/>
      <c r="N16" s="176">
        <f t="shared" si="1"/>
        <v>0</v>
      </c>
    </row>
    <row r="17" spans="1:17" ht="15.5" hidden="1" customHeight="1">
      <c r="A17" s="6">
        <v>46000</v>
      </c>
      <c r="B17" s="7" t="s">
        <v>256</v>
      </c>
      <c r="C17" s="7" t="s">
        <v>14</v>
      </c>
      <c r="D17" s="211" t="s">
        <v>274</v>
      </c>
      <c r="E17" s="211" t="s">
        <v>409</v>
      </c>
      <c r="F17" s="9">
        <v>844000</v>
      </c>
      <c r="G17" s="9">
        <v>844000</v>
      </c>
      <c r="H17" s="10"/>
      <c r="I17" s="11"/>
      <c r="J17" s="12">
        <f t="shared" si="0"/>
        <v>0</v>
      </c>
      <c r="K17" s="12"/>
      <c r="L17" s="7"/>
      <c r="N17" s="182">
        <f t="shared" si="1"/>
        <v>0</v>
      </c>
    </row>
    <row r="18" spans="1:17" ht="15.5" hidden="1" customHeight="1">
      <c r="A18" s="14">
        <v>45967</v>
      </c>
      <c r="B18" s="15" t="s">
        <v>13</v>
      </c>
      <c r="C18" s="102" t="s">
        <v>254</v>
      </c>
      <c r="D18" s="211" t="s">
        <v>255</v>
      </c>
      <c r="E18" s="211" t="s">
        <v>409</v>
      </c>
      <c r="F18" s="17">
        <v>70813</v>
      </c>
      <c r="G18" s="17">
        <v>70813</v>
      </c>
      <c r="H18" s="18"/>
      <c r="I18" s="19"/>
      <c r="J18" s="20">
        <f t="shared" si="0"/>
        <v>0</v>
      </c>
      <c r="K18" s="20"/>
      <c r="L18" s="20"/>
    </row>
    <row r="19" spans="1:17" ht="15.5" hidden="1" customHeight="1">
      <c r="A19" s="6">
        <v>45997</v>
      </c>
      <c r="B19" s="7" t="s">
        <v>13</v>
      </c>
      <c r="C19" s="7" t="s">
        <v>254</v>
      </c>
      <c r="D19" s="211" t="s">
        <v>255</v>
      </c>
      <c r="E19" s="211" t="s">
        <v>409</v>
      </c>
      <c r="F19" s="9">
        <v>70813</v>
      </c>
      <c r="G19" s="9">
        <v>70813</v>
      </c>
      <c r="H19" s="10"/>
      <c r="I19" s="11"/>
      <c r="J19" s="12">
        <f t="shared" si="0"/>
        <v>0</v>
      </c>
      <c r="K19" s="12"/>
      <c r="L19" s="7"/>
    </row>
    <row r="20" spans="1:17" ht="15" customHeight="1">
      <c r="A20" s="14">
        <v>46087</v>
      </c>
      <c r="B20" s="15" t="s">
        <v>13</v>
      </c>
      <c r="C20" s="102" t="s">
        <v>254</v>
      </c>
      <c r="D20" s="16" t="s">
        <v>255</v>
      </c>
      <c r="E20" s="16"/>
      <c r="F20" s="17">
        <v>70813</v>
      </c>
      <c r="G20" s="17">
        <v>70813</v>
      </c>
      <c r="H20" s="18"/>
      <c r="I20" s="19"/>
      <c r="J20" s="20">
        <f t="shared" si="0"/>
        <v>0</v>
      </c>
      <c r="K20" s="20"/>
      <c r="L20" s="20"/>
    </row>
    <row r="21" spans="1:17" ht="15.5" customHeight="1">
      <c r="A21" s="6">
        <v>46059</v>
      </c>
      <c r="B21" s="7" t="s">
        <v>13</v>
      </c>
      <c r="C21" s="7" t="s">
        <v>254</v>
      </c>
      <c r="D21" s="8" t="s">
        <v>255</v>
      </c>
      <c r="E21" s="8"/>
      <c r="F21" s="9">
        <v>70813</v>
      </c>
      <c r="G21" s="9">
        <v>70813</v>
      </c>
      <c r="H21" s="10"/>
      <c r="I21" s="11"/>
      <c r="J21" s="12">
        <f t="shared" si="0"/>
        <v>0</v>
      </c>
      <c r="K21" s="12"/>
      <c r="L21" s="7"/>
    </row>
    <row r="22" spans="1:17" ht="15.5" hidden="1" customHeight="1">
      <c r="A22" s="14">
        <v>45966</v>
      </c>
      <c r="B22" s="15" t="s">
        <v>276</v>
      </c>
      <c r="C22" s="102" t="s">
        <v>14</v>
      </c>
      <c r="D22" s="211" t="s">
        <v>279</v>
      </c>
      <c r="E22" s="211" t="s">
        <v>409</v>
      </c>
      <c r="F22" s="17">
        <v>247000</v>
      </c>
      <c r="G22" s="17">
        <v>247000</v>
      </c>
      <c r="H22" s="18"/>
      <c r="I22" s="19"/>
      <c r="J22" s="20">
        <f t="shared" si="0"/>
        <v>0</v>
      </c>
      <c r="K22" s="20"/>
      <c r="L22" s="20"/>
    </row>
    <row r="23" spans="1:17" ht="15.5" hidden="1" customHeight="1">
      <c r="A23" s="6">
        <v>45966</v>
      </c>
      <c r="B23" s="7" t="s">
        <v>13</v>
      </c>
      <c r="C23" s="7" t="s">
        <v>254</v>
      </c>
      <c r="D23" s="211" t="s">
        <v>257</v>
      </c>
      <c r="E23" s="211" t="s">
        <v>409</v>
      </c>
      <c r="F23" s="9">
        <v>82491.360000000001</v>
      </c>
      <c r="G23" s="9">
        <v>82491.360000000001</v>
      </c>
      <c r="H23" s="10"/>
      <c r="I23" s="11"/>
      <c r="J23" s="12">
        <f t="shared" si="0"/>
        <v>0</v>
      </c>
      <c r="K23" s="12"/>
      <c r="L23" s="7"/>
    </row>
    <row r="24" spans="1:17" ht="15.5" hidden="1" customHeight="1">
      <c r="A24" s="14">
        <v>45996</v>
      </c>
      <c r="B24" s="15" t="s">
        <v>13</v>
      </c>
      <c r="C24" s="102" t="s">
        <v>254</v>
      </c>
      <c r="D24" s="211" t="s">
        <v>257</v>
      </c>
      <c r="E24" s="211" t="s">
        <v>409</v>
      </c>
      <c r="F24" s="17">
        <v>82491.360000000001</v>
      </c>
      <c r="G24" s="17">
        <v>82491.360000000001</v>
      </c>
      <c r="H24" s="18"/>
      <c r="I24" s="19"/>
      <c r="J24" s="20">
        <f t="shared" si="0"/>
        <v>0</v>
      </c>
      <c r="K24" s="20"/>
      <c r="L24" s="20"/>
    </row>
    <row r="25" spans="1:17" ht="15.5" customHeight="1">
      <c r="A25" s="6">
        <v>46027</v>
      </c>
      <c r="B25" s="7" t="s">
        <v>13</v>
      </c>
      <c r="C25" s="7" t="s">
        <v>254</v>
      </c>
      <c r="D25" s="8" t="s">
        <v>257</v>
      </c>
      <c r="E25" s="8"/>
      <c r="F25" s="9">
        <v>82491.360000000001</v>
      </c>
      <c r="G25" s="9">
        <v>82491.360000000001</v>
      </c>
      <c r="H25" s="10"/>
      <c r="I25" s="11"/>
      <c r="J25" s="12">
        <f t="shared" si="0"/>
        <v>0</v>
      </c>
      <c r="K25" s="12"/>
      <c r="L25" s="7"/>
    </row>
    <row r="26" spans="1:17" ht="15.5" customHeight="1">
      <c r="A26" s="14">
        <v>46058</v>
      </c>
      <c r="B26" s="15" t="s">
        <v>13</v>
      </c>
      <c r="C26" s="102" t="s">
        <v>254</v>
      </c>
      <c r="D26" s="16" t="s">
        <v>257</v>
      </c>
      <c r="E26" s="16"/>
      <c r="F26" s="17">
        <v>82491.360000000001</v>
      </c>
      <c r="G26" s="17">
        <v>82491.360000000001</v>
      </c>
      <c r="H26" s="18"/>
      <c r="I26" s="19"/>
      <c r="J26" s="20">
        <f t="shared" si="0"/>
        <v>0</v>
      </c>
      <c r="K26" s="20"/>
      <c r="L26" s="20"/>
    </row>
    <row r="27" spans="1:17" ht="15.5" customHeight="1">
      <c r="A27" s="6">
        <v>46086</v>
      </c>
      <c r="B27" s="7" t="s">
        <v>13</v>
      </c>
      <c r="C27" s="7" t="s">
        <v>254</v>
      </c>
      <c r="D27" s="8" t="s">
        <v>257</v>
      </c>
      <c r="E27" s="8"/>
      <c r="F27" s="9">
        <v>83000</v>
      </c>
      <c r="G27" s="9">
        <v>83000</v>
      </c>
      <c r="H27" s="10"/>
      <c r="I27" s="11"/>
      <c r="J27" s="12">
        <f t="shared" si="0"/>
        <v>0</v>
      </c>
      <c r="K27" s="12"/>
      <c r="L27" s="7"/>
      <c r="O27" s="1">
        <v>130</v>
      </c>
      <c r="P27" s="1" t="s">
        <v>254</v>
      </c>
    </row>
    <row r="28" spans="1:17" ht="15.5" customHeight="1">
      <c r="A28" s="14">
        <v>46021</v>
      </c>
      <c r="B28" s="15" t="s">
        <v>13</v>
      </c>
      <c r="C28" s="102" t="s">
        <v>14</v>
      </c>
      <c r="D28" s="16" t="s">
        <v>268</v>
      </c>
      <c r="E28" s="16"/>
      <c r="F28" s="17">
        <v>84000</v>
      </c>
      <c r="G28" s="17">
        <v>84000</v>
      </c>
      <c r="H28" s="18"/>
      <c r="I28" s="19"/>
      <c r="J28" s="20">
        <f t="shared" si="0"/>
        <v>0</v>
      </c>
      <c r="K28" s="20"/>
      <c r="L28" s="20"/>
      <c r="O28" s="1">
        <v>202</v>
      </c>
      <c r="P28" s="1" t="s">
        <v>254</v>
      </c>
    </row>
    <row r="29" spans="1:17" ht="15.5" customHeight="1">
      <c r="A29" s="6">
        <v>46052</v>
      </c>
      <c r="B29" s="7" t="s">
        <v>13</v>
      </c>
      <c r="C29" s="7" t="s">
        <v>267</v>
      </c>
      <c r="D29" s="8" t="s">
        <v>268</v>
      </c>
      <c r="E29" s="8"/>
      <c r="F29" s="9">
        <v>84000</v>
      </c>
      <c r="G29" s="9">
        <v>84000</v>
      </c>
      <c r="H29" s="10"/>
      <c r="I29" s="11"/>
      <c r="J29" s="12">
        <f t="shared" si="0"/>
        <v>0</v>
      </c>
      <c r="K29" s="12"/>
      <c r="L29" s="7"/>
      <c r="O29" s="1">
        <v>100</v>
      </c>
      <c r="P29" s="1" t="s">
        <v>352</v>
      </c>
    </row>
    <row r="30" spans="1:17" ht="15.5" customHeight="1">
      <c r="A30" s="14">
        <v>46081</v>
      </c>
      <c r="B30" s="15" t="s">
        <v>13</v>
      </c>
      <c r="C30" s="102" t="s">
        <v>267</v>
      </c>
      <c r="D30" s="16" t="s">
        <v>268</v>
      </c>
      <c r="E30" s="16"/>
      <c r="F30" s="17">
        <v>84000</v>
      </c>
      <c r="G30" s="17">
        <v>84000</v>
      </c>
      <c r="H30" s="18"/>
      <c r="I30" s="19"/>
      <c r="J30" s="20">
        <f t="shared" si="0"/>
        <v>0</v>
      </c>
      <c r="K30" s="20"/>
      <c r="L30" s="20"/>
      <c r="O30" s="1">
        <v>400</v>
      </c>
      <c r="P30" s="1" t="s">
        <v>353</v>
      </c>
    </row>
    <row r="31" spans="1:17" ht="15.5" customHeight="1">
      <c r="A31" s="6">
        <v>46111</v>
      </c>
      <c r="B31" s="7" t="s">
        <v>13</v>
      </c>
      <c r="C31" s="7" t="s">
        <v>14</v>
      </c>
      <c r="D31" s="8" t="s">
        <v>268</v>
      </c>
      <c r="E31" s="8"/>
      <c r="F31" s="9">
        <v>84000</v>
      </c>
      <c r="G31" s="9">
        <v>84000</v>
      </c>
      <c r="H31" s="10"/>
      <c r="I31" s="11"/>
      <c r="J31" s="12">
        <f t="shared" si="0"/>
        <v>0</v>
      </c>
      <c r="K31" s="12"/>
      <c r="L31" s="7"/>
      <c r="O31" s="1">
        <v>1250</v>
      </c>
      <c r="P31" s="1" t="s">
        <v>354</v>
      </c>
    </row>
    <row r="32" spans="1:17" ht="15.5" customHeight="1">
      <c r="A32" s="14">
        <v>46142</v>
      </c>
      <c r="B32" s="15" t="s">
        <v>13</v>
      </c>
      <c r="C32" s="102" t="s">
        <v>14</v>
      </c>
      <c r="D32" s="16" t="s">
        <v>268</v>
      </c>
      <c r="E32" s="16"/>
      <c r="F32" s="17">
        <v>84000</v>
      </c>
      <c r="G32" s="17"/>
      <c r="H32" s="18"/>
      <c r="I32" s="19"/>
      <c r="J32" s="20">
        <f t="shared" si="0"/>
        <v>84000</v>
      </c>
      <c r="K32" s="20"/>
      <c r="L32" s="20"/>
      <c r="O32" s="1">
        <v>250</v>
      </c>
      <c r="P32" s="1" t="s">
        <v>355</v>
      </c>
      <c r="Q32" s="1" t="s">
        <v>0</v>
      </c>
    </row>
    <row r="33" spans="1:16" ht="15.5" customHeight="1">
      <c r="A33" s="6">
        <v>46172</v>
      </c>
      <c r="B33" s="7" t="s">
        <v>256</v>
      </c>
      <c r="C33" s="7" t="s">
        <v>14</v>
      </c>
      <c r="D33" s="8" t="s">
        <v>268</v>
      </c>
      <c r="E33" s="8"/>
      <c r="F33" s="9">
        <v>84000</v>
      </c>
      <c r="G33" s="9"/>
      <c r="H33" s="10"/>
      <c r="I33" s="11"/>
      <c r="J33" s="12">
        <f t="shared" si="0"/>
        <v>84000</v>
      </c>
      <c r="K33" s="12"/>
      <c r="L33" s="7"/>
      <c r="O33" s="1">
        <v>1496</v>
      </c>
      <c r="P33" s="1" t="s">
        <v>356</v>
      </c>
    </row>
    <row r="34" spans="1:16" ht="15.5" customHeight="1">
      <c r="A34" s="14">
        <v>46203</v>
      </c>
      <c r="B34" s="15" t="s">
        <v>13</v>
      </c>
      <c r="C34" s="102" t="s">
        <v>14</v>
      </c>
      <c r="D34" s="16" t="s">
        <v>268</v>
      </c>
      <c r="E34" s="16"/>
      <c r="F34" s="17">
        <v>84000</v>
      </c>
      <c r="G34" s="17"/>
      <c r="H34" s="18"/>
      <c r="I34" s="19"/>
      <c r="J34" s="20">
        <f t="shared" si="0"/>
        <v>84000</v>
      </c>
      <c r="K34" s="20"/>
      <c r="L34" s="20"/>
    </row>
    <row r="35" spans="1:16" ht="15.5" customHeight="1">
      <c r="A35" s="6">
        <v>46233</v>
      </c>
      <c r="B35" s="7" t="s">
        <v>13</v>
      </c>
      <c r="C35" s="7" t="s">
        <v>14</v>
      </c>
      <c r="D35" s="8" t="s">
        <v>268</v>
      </c>
      <c r="E35" s="8"/>
      <c r="F35" s="9">
        <v>84000</v>
      </c>
      <c r="G35" s="9"/>
      <c r="H35" s="10"/>
      <c r="I35" s="11"/>
      <c r="J35" s="12">
        <f t="shared" si="0"/>
        <v>84000</v>
      </c>
      <c r="K35" s="12"/>
      <c r="L35" s="7"/>
    </row>
    <row r="36" spans="1:16" ht="15.5" customHeight="1">
      <c r="A36" s="14">
        <v>46264</v>
      </c>
      <c r="B36" s="15" t="s">
        <v>256</v>
      </c>
      <c r="C36" s="102" t="s">
        <v>14</v>
      </c>
      <c r="D36" s="16" t="s">
        <v>268</v>
      </c>
      <c r="E36" s="16"/>
      <c r="F36" s="17">
        <v>84000</v>
      </c>
      <c r="G36" s="17"/>
      <c r="H36" s="18"/>
      <c r="I36" s="19"/>
      <c r="J36" s="20">
        <f t="shared" si="0"/>
        <v>84000</v>
      </c>
      <c r="K36" s="20"/>
      <c r="L36" s="20"/>
      <c r="O36" s="1">
        <f>SUBTOTAL(9,O27:O35)</f>
        <v>3828</v>
      </c>
    </row>
    <row r="37" spans="1:16" ht="15.5" customHeight="1">
      <c r="A37" s="6">
        <v>45975</v>
      </c>
      <c r="B37" s="7" t="s">
        <v>13</v>
      </c>
      <c r="C37" s="7" t="s">
        <v>14</v>
      </c>
      <c r="D37" s="8" t="s">
        <v>282</v>
      </c>
      <c r="E37" s="8" t="s">
        <v>283</v>
      </c>
      <c r="F37" s="9">
        <v>665000</v>
      </c>
      <c r="G37" s="9">
        <v>665000</v>
      </c>
      <c r="H37" s="10"/>
      <c r="I37" s="11" t="s">
        <v>408</v>
      </c>
      <c r="J37" s="12">
        <f t="shared" si="0"/>
        <v>0</v>
      </c>
      <c r="K37" s="12"/>
      <c r="L37" s="7"/>
    </row>
    <row r="38" spans="1:16" ht="15.5" hidden="1" customHeight="1">
      <c r="A38" s="14">
        <v>45975</v>
      </c>
      <c r="B38" s="15" t="s">
        <v>13</v>
      </c>
      <c r="C38" s="102" t="s">
        <v>216</v>
      </c>
      <c r="D38" s="211" t="s">
        <v>284</v>
      </c>
      <c r="E38" s="211" t="s">
        <v>409</v>
      </c>
      <c r="F38" s="17">
        <v>1250000</v>
      </c>
      <c r="G38" s="17"/>
      <c r="H38" s="17">
        <v>1250000</v>
      </c>
      <c r="I38" s="19"/>
      <c r="J38" s="20">
        <f t="shared" si="0"/>
        <v>0</v>
      </c>
      <c r="K38" s="20"/>
      <c r="L38" s="20"/>
      <c r="N38" s="176">
        <f t="shared" ref="N38" si="2">J38</f>
        <v>0</v>
      </c>
    </row>
    <row r="39" spans="1:16" ht="15.5" hidden="1" customHeight="1">
      <c r="A39" s="6">
        <v>45975</v>
      </c>
      <c r="B39" s="7" t="s">
        <v>13</v>
      </c>
      <c r="C39" s="7" t="s">
        <v>216</v>
      </c>
      <c r="D39" s="211" t="s">
        <v>285</v>
      </c>
      <c r="E39" s="211" t="s">
        <v>409</v>
      </c>
      <c r="F39" s="9">
        <v>70000</v>
      </c>
      <c r="G39" s="9">
        <v>70000</v>
      </c>
      <c r="H39" s="10"/>
      <c r="I39" s="11"/>
      <c r="J39" s="12">
        <f t="shared" si="0"/>
        <v>0</v>
      </c>
      <c r="K39" s="12"/>
      <c r="L39" s="7"/>
    </row>
    <row r="40" spans="1:16" ht="15.5" hidden="1" customHeight="1">
      <c r="A40" s="14">
        <v>45975</v>
      </c>
      <c r="B40" s="15" t="s">
        <v>13</v>
      </c>
      <c r="C40" s="102" t="s">
        <v>14</v>
      </c>
      <c r="D40" s="211" t="s">
        <v>286</v>
      </c>
      <c r="E40" s="211" t="s">
        <v>409</v>
      </c>
      <c r="F40" s="17">
        <v>500000</v>
      </c>
      <c r="G40" s="17">
        <v>300000</v>
      </c>
      <c r="H40" s="210">
        <v>200000</v>
      </c>
      <c r="I40" s="19"/>
      <c r="J40" s="20">
        <f t="shared" si="0"/>
        <v>0</v>
      </c>
      <c r="K40" s="20"/>
      <c r="L40" s="20"/>
    </row>
    <row r="41" spans="1:16" ht="15.5" hidden="1" customHeight="1">
      <c r="A41" s="6">
        <v>45975</v>
      </c>
      <c r="B41" s="7" t="s">
        <v>13</v>
      </c>
      <c r="C41" s="7" t="s">
        <v>14</v>
      </c>
      <c r="D41" s="211" t="s">
        <v>287</v>
      </c>
      <c r="E41" s="211" t="s">
        <v>409</v>
      </c>
      <c r="F41" s="9">
        <v>200000</v>
      </c>
      <c r="G41" s="9">
        <v>200000</v>
      </c>
      <c r="H41" s="10"/>
      <c r="I41" s="11"/>
      <c r="J41" s="12">
        <f t="shared" si="0"/>
        <v>0</v>
      </c>
      <c r="K41" s="12"/>
      <c r="L41" s="7"/>
    </row>
    <row r="42" spans="1:16" ht="15.5" customHeight="1">
      <c r="A42" s="14">
        <v>45992</v>
      </c>
      <c r="B42" s="15" t="s">
        <v>13</v>
      </c>
      <c r="C42" s="102" t="s">
        <v>254</v>
      </c>
      <c r="D42" s="16" t="s">
        <v>346</v>
      </c>
      <c r="E42" s="16"/>
      <c r="F42" s="17">
        <v>206300</v>
      </c>
      <c r="G42" s="17">
        <v>206300</v>
      </c>
      <c r="H42" s="18"/>
      <c r="I42" s="19"/>
      <c r="J42" s="20">
        <f t="shared" si="0"/>
        <v>0</v>
      </c>
      <c r="K42" s="20"/>
      <c r="L42" s="20"/>
    </row>
    <row r="43" spans="1:16" ht="15.5" hidden="1" customHeight="1">
      <c r="A43" s="6">
        <v>45994</v>
      </c>
      <c r="B43" s="7" t="s">
        <v>13</v>
      </c>
      <c r="C43" s="7" t="s">
        <v>14</v>
      </c>
      <c r="D43" s="211" t="s">
        <v>357</v>
      </c>
      <c r="E43" s="211" t="s">
        <v>409</v>
      </c>
      <c r="F43" s="9">
        <v>1289000</v>
      </c>
      <c r="G43" s="9">
        <v>1289000</v>
      </c>
      <c r="H43" s="10"/>
      <c r="I43" s="11" t="s">
        <v>410</v>
      </c>
      <c r="J43" s="12">
        <f t="shared" si="0"/>
        <v>0</v>
      </c>
      <c r="K43" s="12"/>
      <c r="L43" s="7"/>
    </row>
    <row r="44" spans="1:16" ht="15.5" hidden="1" customHeight="1">
      <c r="A44" s="14">
        <v>46001</v>
      </c>
      <c r="B44" s="15" t="s">
        <v>358</v>
      </c>
      <c r="C44" s="102" t="s">
        <v>14</v>
      </c>
      <c r="D44" s="211" t="s">
        <v>359</v>
      </c>
      <c r="E44" s="211" t="s">
        <v>409</v>
      </c>
      <c r="F44" s="17">
        <v>39352</v>
      </c>
      <c r="G44" s="17"/>
      <c r="H44" s="18">
        <v>39352</v>
      </c>
      <c r="I44" s="19" t="s">
        <v>410</v>
      </c>
      <c r="J44" s="20">
        <f t="shared" si="0"/>
        <v>0</v>
      </c>
      <c r="K44" s="20"/>
      <c r="L44" s="20"/>
    </row>
    <row r="45" spans="1:16" ht="15.5" hidden="1" customHeight="1">
      <c r="A45" s="6">
        <v>46001</v>
      </c>
      <c r="B45" s="7" t="s">
        <v>358</v>
      </c>
      <c r="C45" s="7" t="s">
        <v>14</v>
      </c>
      <c r="D45" s="211" t="s">
        <v>359</v>
      </c>
      <c r="E45" s="211" t="s">
        <v>409</v>
      </c>
      <c r="F45" s="9">
        <v>257000</v>
      </c>
      <c r="G45" s="9"/>
      <c r="H45" s="10">
        <v>257000</v>
      </c>
      <c r="I45" s="11" t="s">
        <v>408</v>
      </c>
      <c r="J45" s="12">
        <f t="shared" si="0"/>
        <v>0</v>
      </c>
      <c r="K45" s="12"/>
      <c r="L45" s="7"/>
    </row>
    <row r="46" spans="1:16" ht="15.5" hidden="1" customHeight="1">
      <c r="A46" s="14">
        <v>46001</v>
      </c>
      <c r="B46" s="15" t="s">
        <v>358</v>
      </c>
      <c r="C46" s="102" t="s">
        <v>14</v>
      </c>
      <c r="D46" s="211" t="s">
        <v>360</v>
      </c>
      <c r="E46" s="211" t="s">
        <v>409</v>
      </c>
      <c r="F46" s="17">
        <v>857053</v>
      </c>
      <c r="G46" s="17"/>
      <c r="H46" s="18">
        <v>857053</v>
      </c>
      <c r="I46" s="19"/>
      <c r="J46" s="20">
        <f t="shared" si="0"/>
        <v>0</v>
      </c>
      <c r="K46" s="20"/>
      <c r="L46" s="20"/>
    </row>
    <row r="47" spans="1:16" ht="15.5" customHeight="1">
      <c r="A47" s="6">
        <v>45996</v>
      </c>
      <c r="B47" s="7" t="s">
        <v>361</v>
      </c>
      <c r="C47" s="7" t="s">
        <v>216</v>
      </c>
      <c r="D47" s="8" t="s">
        <v>362</v>
      </c>
      <c r="E47" s="8"/>
      <c r="F47" s="9">
        <v>2087000</v>
      </c>
      <c r="G47" s="9">
        <v>250000</v>
      </c>
      <c r="H47" s="10"/>
      <c r="I47" s="11"/>
      <c r="J47" s="12">
        <f t="shared" si="0"/>
        <v>1837000</v>
      </c>
      <c r="K47" s="12"/>
      <c r="L47" s="7"/>
    </row>
    <row r="48" spans="1:16" ht="15.5" customHeight="1">
      <c r="A48" s="14">
        <v>46371</v>
      </c>
      <c r="B48" s="15" t="s">
        <v>361</v>
      </c>
      <c r="C48" s="102" t="s">
        <v>14</v>
      </c>
      <c r="D48" s="16" t="s">
        <v>422</v>
      </c>
      <c r="E48" s="16"/>
      <c r="F48" s="17">
        <v>116612.16</v>
      </c>
      <c r="G48" s="17">
        <v>116612.16</v>
      </c>
      <c r="H48" s="18"/>
      <c r="I48" s="19"/>
      <c r="J48" s="20">
        <f t="shared" si="0"/>
        <v>0</v>
      </c>
      <c r="K48" s="20"/>
      <c r="L48" s="20"/>
    </row>
    <row r="49" spans="1:14" ht="15.5" customHeight="1">
      <c r="A49" s="6">
        <v>46035</v>
      </c>
      <c r="B49" s="7" t="s">
        <v>361</v>
      </c>
      <c r="C49" s="7" t="s">
        <v>14</v>
      </c>
      <c r="D49" s="8" t="s">
        <v>422</v>
      </c>
      <c r="E49" s="8"/>
      <c r="F49" s="9">
        <v>116612.16</v>
      </c>
      <c r="G49" s="9">
        <v>116612.16</v>
      </c>
      <c r="H49" s="10"/>
      <c r="I49" s="11"/>
      <c r="J49" s="12">
        <f t="shared" si="0"/>
        <v>0</v>
      </c>
      <c r="K49" s="12"/>
      <c r="L49" s="7"/>
    </row>
    <row r="50" spans="1:14" ht="15.5" customHeight="1">
      <c r="A50" s="14">
        <v>46066</v>
      </c>
      <c r="B50" s="15" t="s">
        <v>361</v>
      </c>
      <c r="C50" s="102" t="s">
        <v>14</v>
      </c>
      <c r="D50" s="16" t="s">
        <v>422</v>
      </c>
      <c r="E50" s="16"/>
      <c r="F50" s="17">
        <v>116612.16</v>
      </c>
      <c r="G50" s="17">
        <v>116612.16</v>
      </c>
      <c r="H50" s="18"/>
      <c r="I50" s="19"/>
      <c r="J50" s="20">
        <f t="shared" ref="J50:J57" si="3">F50-G50-H50</f>
        <v>0</v>
      </c>
      <c r="K50" s="20"/>
      <c r="L50" s="20"/>
    </row>
    <row r="51" spans="1:14" ht="15.5" customHeight="1">
      <c r="A51" s="6">
        <v>46094</v>
      </c>
      <c r="B51" s="7" t="s">
        <v>361</v>
      </c>
      <c r="C51" s="7" t="s">
        <v>14</v>
      </c>
      <c r="D51" s="8" t="s">
        <v>422</v>
      </c>
      <c r="E51" s="8"/>
      <c r="F51" s="9">
        <v>116612.16</v>
      </c>
      <c r="G51" s="9">
        <v>116612.16</v>
      </c>
      <c r="H51" s="10"/>
      <c r="I51" s="11"/>
      <c r="J51" s="12">
        <f t="shared" si="3"/>
        <v>0</v>
      </c>
      <c r="K51" s="12"/>
      <c r="L51" s="7"/>
    </row>
    <row r="52" spans="1:14" ht="15.5" customHeight="1">
      <c r="A52" s="14">
        <v>46125</v>
      </c>
      <c r="B52" s="15" t="s">
        <v>361</v>
      </c>
      <c r="C52" s="102" t="s">
        <v>14</v>
      </c>
      <c r="D52" s="16" t="s">
        <v>422</v>
      </c>
      <c r="E52" s="16"/>
      <c r="F52" s="17">
        <v>116612.16</v>
      </c>
      <c r="G52" s="17"/>
      <c r="H52" s="18"/>
      <c r="I52" s="19"/>
      <c r="J52" s="20">
        <f t="shared" si="3"/>
        <v>116612.16</v>
      </c>
      <c r="K52" s="20"/>
      <c r="L52" s="20"/>
    </row>
    <row r="53" spans="1:14" ht="15.5" customHeight="1">
      <c r="A53" s="6">
        <v>46155</v>
      </c>
      <c r="B53" s="7" t="s">
        <v>361</v>
      </c>
      <c r="C53" s="7" t="s">
        <v>14</v>
      </c>
      <c r="D53" s="8" t="s">
        <v>422</v>
      </c>
      <c r="E53" s="8"/>
      <c r="F53" s="9">
        <v>116612.16</v>
      </c>
      <c r="G53" s="9"/>
      <c r="H53" s="10"/>
      <c r="I53" s="11"/>
      <c r="J53" s="12">
        <f t="shared" si="3"/>
        <v>116612.16</v>
      </c>
      <c r="K53" s="12"/>
      <c r="L53" s="7"/>
    </row>
    <row r="54" spans="1:14" ht="15.5" customHeight="1">
      <c r="A54" s="14"/>
      <c r="B54" s="102"/>
      <c r="C54" s="102"/>
      <c r="D54" s="16"/>
      <c r="E54" s="16"/>
      <c r="F54" s="17"/>
      <c r="G54" s="17"/>
      <c r="H54" s="18"/>
      <c r="I54" s="19"/>
      <c r="J54" s="20">
        <f t="shared" si="3"/>
        <v>0</v>
      </c>
      <c r="K54" s="20"/>
      <c r="L54" s="20"/>
    </row>
    <row r="55" spans="1:14" ht="15.5" customHeight="1">
      <c r="A55" s="6"/>
      <c r="B55" s="214"/>
      <c r="C55" s="7"/>
      <c r="D55" s="8"/>
      <c r="E55" s="8"/>
      <c r="F55" s="9"/>
      <c r="G55" s="9"/>
      <c r="H55" s="10"/>
      <c r="I55" s="11"/>
      <c r="J55" s="12">
        <f t="shared" si="3"/>
        <v>0</v>
      </c>
      <c r="K55" s="12"/>
      <c r="L55" s="7"/>
    </row>
    <row r="56" spans="1:14" ht="15.5" customHeight="1">
      <c r="A56" s="14"/>
      <c r="B56" s="15"/>
      <c r="C56" s="102"/>
      <c r="D56" s="16"/>
      <c r="E56" s="16"/>
      <c r="F56" s="17"/>
      <c r="G56" s="17"/>
      <c r="H56" s="18"/>
      <c r="I56" s="19"/>
      <c r="J56" s="20">
        <f t="shared" si="3"/>
        <v>0</v>
      </c>
      <c r="K56" s="20"/>
      <c r="L56" s="20"/>
    </row>
    <row r="57" spans="1:14" ht="15.5" customHeight="1">
      <c r="A57" s="6"/>
      <c r="B57" s="7"/>
      <c r="C57" s="7"/>
      <c r="D57" s="8"/>
      <c r="E57" s="8"/>
      <c r="F57" s="9"/>
      <c r="G57" s="9"/>
      <c r="H57" s="10"/>
      <c r="I57" s="11"/>
      <c r="J57" s="12">
        <f t="shared" si="3"/>
        <v>0</v>
      </c>
      <c r="K57" s="12"/>
      <c r="L57" s="7"/>
    </row>
    <row r="58" spans="1:14" ht="15.5" customHeight="1">
      <c r="A58" s="104"/>
      <c r="B58" s="105"/>
      <c r="C58" s="105"/>
      <c r="D58" s="106"/>
      <c r="E58" s="140"/>
      <c r="F58" s="107">
        <f>SUBTOTAL(9,F2:F57)</f>
        <v>7529657.4100000001</v>
      </c>
      <c r="G58" s="107">
        <f>SUBTOTAL(9,G2:G57)</f>
        <v>2433357.3600000003</v>
      </c>
      <c r="H58" s="107">
        <f>SUBTOTAL(9,H2:H57)</f>
        <v>1219000</v>
      </c>
      <c r="I58" s="108"/>
      <c r="J58" s="107">
        <f>SUBTOTAL(9,J2:J57)</f>
        <v>3877300.0500000003</v>
      </c>
      <c r="K58" s="22"/>
      <c r="L58" s="22">
        <f>SUBTOTAL(9,L2:L40)</f>
        <v>0</v>
      </c>
    </row>
    <row r="59" spans="1:14" ht="31.5" customHeight="1">
      <c r="A59" s="109"/>
      <c r="B59" s="110" t="s">
        <v>1</v>
      </c>
      <c r="C59" s="111"/>
      <c r="D59" s="110" t="s">
        <v>2</v>
      </c>
      <c r="E59" s="110"/>
      <c r="F59" s="112" t="s">
        <v>3</v>
      </c>
      <c r="G59" s="110" t="s">
        <v>4</v>
      </c>
      <c r="H59" s="113"/>
      <c r="I59" s="112" t="s">
        <v>16</v>
      </c>
      <c r="J59" s="114" t="s">
        <v>17</v>
      </c>
      <c r="K59" s="115"/>
      <c r="L59" s="115"/>
    </row>
    <row r="60" spans="1:14" ht="15.5" customHeight="1">
      <c r="A60" s="116"/>
      <c r="B60" s="116"/>
      <c r="C60" s="116"/>
      <c r="D60" s="117" t="s">
        <v>18</v>
      </c>
      <c r="E60" s="117"/>
      <c r="F60" s="118">
        <v>14412</v>
      </c>
      <c r="G60" s="119">
        <v>14412</v>
      </c>
      <c r="H60" s="120"/>
      <c r="I60" s="137">
        <f t="shared" ref="I60:I66" si="4">F60*$E$68</f>
        <v>609627.6</v>
      </c>
      <c r="J60" s="119">
        <f t="shared" ref="J60:J66" si="5">F60-G60</f>
        <v>0</v>
      </c>
      <c r="K60" s="121"/>
      <c r="L60" s="122"/>
      <c r="N60" s="180">
        <f>J60</f>
        <v>0</v>
      </c>
    </row>
    <row r="61" spans="1:14" ht="15.5" customHeight="1">
      <c r="A61" s="123"/>
      <c r="B61" s="123"/>
      <c r="C61" s="123"/>
      <c r="D61" s="117" t="s">
        <v>19</v>
      </c>
      <c r="E61" s="117"/>
      <c r="F61" s="124">
        <v>30000</v>
      </c>
      <c r="G61" s="119">
        <v>0</v>
      </c>
      <c r="H61" s="120"/>
      <c r="I61" s="137">
        <f t="shared" si="4"/>
        <v>1269000</v>
      </c>
      <c r="J61" s="119">
        <f t="shared" si="5"/>
        <v>30000</v>
      </c>
      <c r="K61" s="121"/>
      <c r="L61" s="122"/>
    </row>
    <row r="62" spans="1:14" ht="15.5" customHeight="1">
      <c r="A62" s="123"/>
      <c r="B62" s="123"/>
      <c r="C62" s="123"/>
      <c r="D62" s="117" t="s">
        <v>20</v>
      </c>
      <c r="E62" s="117"/>
      <c r="F62" s="118">
        <v>3000</v>
      </c>
      <c r="G62" s="119">
        <v>3000</v>
      </c>
      <c r="H62" s="120"/>
      <c r="I62" s="137">
        <f t="shared" si="4"/>
        <v>126899.99999999999</v>
      </c>
      <c r="J62" s="119">
        <f t="shared" si="5"/>
        <v>0</v>
      </c>
      <c r="K62" s="121"/>
      <c r="L62" s="122"/>
      <c r="N62" s="180">
        <f>J62</f>
        <v>0</v>
      </c>
    </row>
    <row r="63" spans="1:14" ht="15.5" customHeight="1">
      <c r="A63" s="125"/>
      <c r="B63" s="125"/>
      <c r="C63" s="125"/>
      <c r="D63" s="139" t="s">
        <v>271</v>
      </c>
      <c r="E63" s="139"/>
      <c r="F63" s="126">
        <v>5000</v>
      </c>
      <c r="G63" s="119">
        <v>0</v>
      </c>
      <c r="H63" s="127"/>
      <c r="I63" s="137">
        <f t="shared" si="4"/>
        <v>211500</v>
      </c>
      <c r="J63" s="119">
        <f t="shared" si="5"/>
        <v>5000</v>
      </c>
      <c r="K63" s="128"/>
      <c r="L63" s="122"/>
    </row>
    <row r="64" spans="1:14" ht="15.5" customHeight="1">
      <c r="A64" s="116"/>
      <c r="B64" s="116"/>
      <c r="C64" s="116"/>
      <c r="D64" s="117" t="s">
        <v>21</v>
      </c>
      <c r="E64" s="117"/>
      <c r="F64" s="129">
        <v>10000</v>
      </c>
      <c r="G64" s="119">
        <v>10000</v>
      </c>
      <c r="H64" s="120"/>
      <c r="I64" s="137">
        <f t="shared" si="4"/>
        <v>423000</v>
      </c>
      <c r="J64" s="119">
        <f t="shared" si="5"/>
        <v>0</v>
      </c>
      <c r="K64" s="121"/>
      <c r="L64" s="122"/>
    </row>
    <row r="65" spans="1:15" ht="15.5" customHeight="1">
      <c r="A65" s="116"/>
      <c r="B65" s="116"/>
      <c r="C65" s="116"/>
      <c r="D65" s="130" t="s">
        <v>327</v>
      </c>
      <c r="E65" s="130"/>
      <c r="F65" s="129">
        <v>10000</v>
      </c>
      <c r="G65" s="119"/>
      <c r="H65" s="132"/>
      <c r="I65" s="137">
        <f t="shared" ref="I65" si="6">F65*$E$68</f>
        <v>423000</v>
      </c>
      <c r="J65" s="119">
        <f t="shared" si="5"/>
        <v>10000</v>
      </c>
      <c r="K65" s="121"/>
      <c r="L65" s="122"/>
      <c r="N65" s="180">
        <f>J65</f>
        <v>10000</v>
      </c>
    </row>
    <row r="66" spans="1:15" ht="15.5" customHeight="1">
      <c r="A66" s="116"/>
      <c r="B66" s="116"/>
      <c r="C66" s="116"/>
      <c r="D66" s="130" t="s">
        <v>272</v>
      </c>
      <c r="E66" s="130"/>
      <c r="F66" s="131">
        <v>5200</v>
      </c>
      <c r="G66" s="119">
        <v>5200</v>
      </c>
      <c r="H66" s="132"/>
      <c r="I66" s="137">
        <f t="shared" si="4"/>
        <v>219959.99999999997</v>
      </c>
      <c r="J66" s="119">
        <f t="shared" si="5"/>
        <v>0</v>
      </c>
      <c r="K66" s="121"/>
      <c r="L66" s="122"/>
      <c r="N66" s="180">
        <f>J66</f>
        <v>0</v>
      </c>
    </row>
    <row r="67" spans="1:15" ht="21" customHeight="1">
      <c r="A67" s="123"/>
      <c r="B67" s="123"/>
      <c r="C67" s="123"/>
      <c r="D67" s="123"/>
      <c r="E67" s="123"/>
      <c r="F67" s="123"/>
      <c r="G67" s="123"/>
      <c r="H67" s="132"/>
      <c r="I67" s="132"/>
      <c r="J67" s="123"/>
      <c r="K67" s="123"/>
      <c r="L67" s="133"/>
      <c r="O67" s="179">
        <f>SUM(N3:N39)</f>
        <v>337075.73</v>
      </c>
    </row>
    <row r="68" spans="1:15" ht="21" customHeight="1">
      <c r="A68" s="147"/>
      <c r="B68" s="147"/>
      <c r="C68" s="147"/>
      <c r="D68" s="148" t="s">
        <v>22</v>
      </c>
      <c r="E68" s="138">
        <v>42.3</v>
      </c>
      <c r="F68" s="149">
        <f>SUM(F60:F67)</f>
        <v>77612</v>
      </c>
      <c r="G68" s="149">
        <f>SUM(G60:G67)</f>
        <v>32612</v>
      </c>
      <c r="H68" s="150"/>
      <c r="I68" s="150">
        <f>SUM(I60:I67)</f>
        <v>3282987.6</v>
      </c>
      <c r="J68" s="136">
        <f>SUM(J60:J67)</f>
        <v>45000</v>
      </c>
      <c r="K68" s="134">
        <f>E68*J68</f>
        <v>1903499.9999999998</v>
      </c>
      <c r="L68" s="135">
        <f>SUM(L58,L66)</f>
        <v>0</v>
      </c>
      <c r="N68" s="136">
        <f>SUM(N60:N67)</f>
        <v>10000</v>
      </c>
      <c r="O68" s="179">
        <f>N68*E68</f>
        <v>423000</v>
      </c>
    </row>
    <row r="69" spans="1:15" ht="11.75" customHeight="1">
      <c r="A69" s="151"/>
      <c r="B69" s="151"/>
      <c r="C69" s="151"/>
      <c r="D69" s="151"/>
      <c r="E69" s="151"/>
      <c r="F69" s="152"/>
      <c r="G69" s="152"/>
      <c r="H69" s="153"/>
      <c r="I69" s="153"/>
      <c r="J69" s="123"/>
      <c r="K69" s="123"/>
      <c r="L69" s="159"/>
    </row>
    <row r="70" spans="1:15" ht="16">
      <c r="A70" s="154"/>
      <c r="B70" s="154"/>
      <c r="C70" s="154"/>
      <c r="D70" s="154"/>
      <c r="E70" s="154"/>
      <c r="F70" s="154"/>
      <c r="G70" s="154"/>
      <c r="H70" s="153"/>
      <c r="I70" s="153"/>
      <c r="J70" s="525" t="s">
        <v>317</v>
      </c>
      <c r="K70" s="526"/>
      <c r="L70" s="122">
        <f>J58</f>
        <v>3877300.0500000003</v>
      </c>
    </row>
    <row r="71" spans="1:15" ht="16">
      <c r="A71" s="154"/>
      <c r="B71" s="154"/>
      <c r="C71" s="154"/>
      <c r="D71" s="154"/>
      <c r="E71" s="154"/>
      <c r="F71" s="154"/>
      <c r="G71" s="154"/>
      <c r="H71" s="153"/>
      <c r="I71" s="153"/>
      <c r="J71" s="525" t="s">
        <v>318</v>
      </c>
      <c r="K71" s="526"/>
      <c r="L71" s="122">
        <f>K68</f>
        <v>1903499.9999999998</v>
      </c>
    </row>
    <row r="72" spans="1:15" ht="15.5" customHeight="1">
      <c r="A72" s="154"/>
      <c r="B72" s="154"/>
      <c r="C72" s="154"/>
      <c r="D72" s="154"/>
      <c r="E72" s="154"/>
      <c r="F72" s="154"/>
      <c r="G72" s="154"/>
      <c r="H72" s="153"/>
      <c r="I72" s="153"/>
      <c r="J72" s="123"/>
      <c r="K72" s="123"/>
      <c r="L72" s="160"/>
    </row>
    <row r="73" spans="1:15" ht="21" customHeight="1">
      <c r="A73" s="155"/>
      <c r="B73" s="155"/>
      <c r="C73" s="155"/>
      <c r="D73" s="155"/>
      <c r="E73" s="155"/>
      <c r="F73" s="156"/>
      <c r="G73" s="157"/>
      <c r="H73" s="158"/>
      <c r="I73" s="158"/>
      <c r="J73" s="527" t="s">
        <v>319</v>
      </c>
      <c r="K73" s="527"/>
      <c r="L73" s="161">
        <f>SUM(L70:L72)</f>
        <v>5780800.0499999998</v>
      </c>
    </row>
  </sheetData>
  <autoFilter ref="A1:M64" xr:uid="{00000000-0001-0000-0100-000000000000}">
    <filterColumn colId="4">
      <filters blank="1">
        <filter val="14.11.2025 Asgari 230 bin ödendi"/>
      </filters>
    </filterColumn>
  </autoFilter>
  <sortState xmlns:xlrd2="http://schemas.microsoft.com/office/spreadsheetml/2017/richdata2" ref="A2:L73">
    <sortCondition ref="A2:A57"/>
    <sortCondition ref="D2:D57"/>
  </sortState>
  <mergeCells count="3">
    <mergeCell ref="J70:K70"/>
    <mergeCell ref="J71:K71"/>
    <mergeCell ref="J73:K73"/>
  </mergeCells>
  <pageMargins left="0.70866099999999999" right="0.70866099999999999" top="0" bottom="0" header="0" footer="0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2"/>
  <sheetViews>
    <sheetView showGridLines="0" topLeftCell="A120" workbookViewId="0">
      <selection activeCell="G69" sqref="G69"/>
    </sheetView>
  </sheetViews>
  <sheetFormatPr baseColWidth="10" defaultColWidth="8.6640625" defaultRowHeight="15" customHeight="1"/>
  <cols>
    <col min="1" max="1" width="13.33203125" style="1" customWidth="1"/>
    <col min="2" max="2" width="13.6640625" style="1" customWidth="1"/>
    <col min="3" max="5" width="14.1640625" style="1" customWidth="1"/>
    <col min="6" max="6" width="21.33203125" style="1" customWidth="1"/>
    <col min="7" max="7" width="20.6640625" style="1" bestFit="1" customWidth="1"/>
    <col min="8" max="8" width="21.33203125" style="1" customWidth="1"/>
    <col min="9" max="9" width="6.33203125" style="1" customWidth="1"/>
    <col min="10" max="10" width="5" style="1" bestFit="1" customWidth="1"/>
    <col min="11" max="11" width="16.6640625" style="1" customWidth="1"/>
    <col min="12" max="13" width="15.1640625" style="1" bestFit="1" customWidth="1"/>
    <col min="14" max="14" width="17.6640625" style="1" customWidth="1"/>
    <col min="15" max="15" width="13.33203125" style="1" customWidth="1"/>
    <col min="16" max="16" width="14.6640625" style="1" customWidth="1"/>
    <col min="17" max="17" width="8.6640625" style="1" customWidth="1"/>
    <col min="18" max="16384" width="8.6640625" style="1"/>
  </cols>
  <sheetData>
    <row r="1" spans="1:16" ht="13.5" customHeight="1">
      <c r="A1" s="26"/>
      <c r="B1" s="26"/>
      <c r="C1" s="26"/>
      <c r="D1" s="26"/>
      <c r="E1" s="26"/>
      <c r="F1" s="26"/>
      <c r="G1" s="26"/>
      <c r="H1" s="26"/>
      <c r="I1" s="27"/>
      <c r="J1" s="27"/>
      <c r="K1" s="26"/>
      <c r="L1" s="28"/>
      <c r="M1" s="28"/>
      <c r="N1" s="28"/>
      <c r="O1" s="27"/>
      <c r="P1" s="27"/>
    </row>
    <row r="2" spans="1:16" ht="15.75" customHeight="1">
      <c r="A2" s="23" t="s">
        <v>15</v>
      </c>
      <c r="B2" s="23" t="s">
        <v>24</v>
      </c>
      <c r="C2" s="23" t="s">
        <v>25</v>
      </c>
      <c r="D2" s="23" t="s">
        <v>26</v>
      </c>
      <c r="E2" s="23" t="s">
        <v>27</v>
      </c>
      <c r="F2" s="23" t="s">
        <v>28</v>
      </c>
      <c r="G2" s="23" t="s">
        <v>29</v>
      </c>
      <c r="H2" s="23" t="s">
        <v>23</v>
      </c>
      <c r="I2" s="29"/>
      <c r="J2" s="30"/>
      <c r="K2" s="175" t="s">
        <v>30</v>
      </c>
      <c r="L2" s="175" t="s">
        <v>28</v>
      </c>
      <c r="M2" s="175" t="s">
        <v>29</v>
      </c>
      <c r="N2" s="175" t="s">
        <v>58</v>
      </c>
      <c r="O2" s="29"/>
      <c r="P2" s="27"/>
    </row>
    <row r="3" spans="1:16" ht="13.5" customHeight="1">
      <c r="A3" s="31" t="s">
        <v>31</v>
      </c>
      <c r="B3" s="32">
        <v>45754</v>
      </c>
      <c r="C3" s="31" t="s">
        <v>32</v>
      </c>
      <c r="D3" s="33"/>
      <c r="E3" s="31" t="s">
        <v>33</v>
      </c>
      <c r="F3" s="34">
        <f>F30</f>
        <v>1825972.6400000001</v>
      </c>
      <c r="G3" s="34">
        <f t="shared" ref="G3:H3" si="0">G30</f>
        <v>1825972.6400000001</v>
      </c>
      <c r="H3" s="34">
        <f t="shared" si="0"/>
        <v>0</v>
      </c>
      <c r="I3" s="27"/>
      <c r="J3" s="35">
        <v>2025</v>
      </c>
      <c r="K3" s="37" t="s">
        <v>44</v>
      </c>
      <c r="L3" s="40">
        <f>SUM(F31,F34,F43,F50,F60)</f>
        <v>1573241.93</v>
      </c>
      <c r="M3" s="40">
        <f t="shared" ref="M3:N3" si="1">SUM(G31,G34,G43,G50,G60)</f>
        <v>1573241.93</v>
      </c>
      <c r="N3" s="40">
        <f t="shared" si="1"/>
        <v>0</v>
      </c>
      <c r="O3" s="46"/>
      <c r="P3" s="27"/>
    </row>
    <row r="4" spans="1:16" ht="13.5" customHeight="1">
      <c r="A4" s="37" t="s">
        <v>31</v>
      </c>
      <c r="B4" s="38">
        <v>45670</v>
      </c>
      <c r="C4" s="37" t="s">
        <v>35</v>
      </c>
      <c r="D4" s="27"/>
      <c r="E4" s="27"/>
      <c r="F4" s="39">
        <f>F33</f>
        <v>429485.5</v>
      </c>
      <c r="G4" s="39">
        <f t="shared" ref="G4:H4" si="2">G33</f>
        <v>429485.5</v>
      </c>
      <c r="H4" s="39">
        <f t="shared" si="2"/>
        <v>0</v>
      </c>
      <c r="I4" s="27"/>
      <c r="J4" s="35">
        <v>2025</v>
      </c>
      <c r="K4" s="37" t="s">
        <v>46</v>
      </c>
      <c r="L4" s="40">
        <f>SUM(F32,F35,F44,F51,F61)</f>
        <v>1573241.91</v>
      </c>
      <c r="M4" s="40">
        <f t="shared" ref="M4:N4" si="3">SUM(G32,G35,G44,G51,G61)</f>
        <v>1573241.91</v>
      </c>
      <c r="N4" s="40">
        <f t="shared" si="3"/>
        <v>0</v>
      </c>
      <c r="O4" s="46"/>
      <c r="P4" s="27"/>
    </row>
    <row r="5" spans="1:16" ht="13.5" customHeight="1">
      <c r="A5" s="37" t="s">
        <v>31</v>
      </c>
      <c r="B5" s="38">
        <v>45669</v>
      </c>
      <c r="C5" s="37" t="s">
        <v>36</v>
      </c>
      <c r="D5" s="27"/>
      <c r="E5" s="27"/>
      <c r="F5" s="39">
        <f>F42</f>
        <v>4313765.8099999996</v>
      </c>
      <c r="G5" s="39">
        <f t="shared" ref="G5:H5" si="4">G42</f>
        <v>4313765.84</v>
      </c>
      <c r="H5" s="39">
        <f t="shared" si="4"/>
        <v>0</v>
      </c>
      <c r="I5" s="27"/>
      <c r="J5" s="35">
        <v>2025</v>
      </c>
      <c r="K5" s="37" t="s">
        <v>48</v>
      </c>
      <c r="L5" s="40">
        <f>SUM(F36,F52,F62,F80)</f>
        <v>1373154.19</v>
      </c>
      <c r="M5" s="40">
        <f t="shared" ref="M5:N5" si="5">SUM(G36,G52,G62,G80)</f>
        <v>1373154.19</v>
      </c>
      <c r="N5" s="40">
        <f t="shared" si="5"/>
        <v>0</v>
      </c>
      <c r="O5" s="27"/>
      <c r="P5" s="39"/>
    </row>
    <row r="6" spans="1:16" ht="13.5" customHeight="1">
      <c r="A6" s="37" t="s">
        <v>37</v>
      </c>
      <c r="B6" s="38">
        <v>45688</v>
      </c>
      <c r="C6" s="37" t="s">
        <v>38</v>
      </c>
      <c r="D6" s="27"/>
      <c r="E6" s="27"/>
      <c r="F6" s="39">
        <f>F49</f>
        <v>492440.78</v>
      </c>
      <c r="G6" s="39">
        <f t="shared" ref="G6:H6" si="6">G49</f>
        <v>492440.76000000007</v>
      </c>
      <c r="H6" s="39">
        <f t="shared" si="6"/>
        <v>1.9999999989522621E-2</v>
      </c>
      <c r="I6" s="27"/>
      <c r="J6" s="35">
        <v>2025</v>
      </c>
      <c r="K6" s="37" t="s">
        <v>95</v>
      </c>
      <c r="L6" s="40">
        <f>SUM(F21,F37,F45,F46,F53,F63,F70,F81)</f>
        <v>1870317.5299999998</v>
      </c>
      <c r="M6" s="40">
        <f t="shared" ref="M6:N6" si="7">SUM(G21,G37,G45,G46,G53,G63,G70,G81)</f>
        <v>1870317.5299999998</v>
      </c>
      <c r="N6" s="40">
        <f t="shared" si="7"/>
        <v>0</v>
      </c>
      <c r="O6" s="27"/>
      <c r="P6" s="27"/>
    </row>
    <row r="7" spans="1:16" ht="13.5" customHeight="1">
      <c r="A7" s="37" t="s">
        <v>31</v>
      </c>
      <c r="B7" s="38">
        <v>45684</v>
      </c>
      <c r="C7" s="37" t="s">
        <v>39</v>
      </c>
      <c r="D7" s="27"/>
      <c r="E7" s="27"/>
      <c r="F7" s="39">
        <f>F59</f>
        <v>4220701.38</v>
      </c>
      <c r="G7" s="39">
        <f t="shared" ref="G7:H7" si="8">G59</f>
        <v>4220701.38</v>
      </c>
      <c r="H7" s="39">
        <f t="shared" si="8"/>
        <v>0</v>
      </c>
      <c r="I7" s="27"/>
      <c r="J7" s="35">
        <v>2025</v>
      </c>
      <c r="K7" s="37" t="s">
        <v>96</v>
      </c>
      <c r="L7" s="40">
        <f>SUM(F22,F38,F54,F64,F71,F82)</f>
        <v>1706170.6099999999</v>
      </c>
      <c r="M7" s="40">
        <f t="shared" ref="M7:N7" si="9">SUM(G22,G38,G54,G64,G71,G82)</f>
        <v>1706170.6099999999</v>
      </c>
      <c r="N7" s="40">
        <f t="shared" si="9"/>
        <v>0</v>
      </c>
      <c r="O7" s="27"/>
      <c r="P7" s="27"/>
    </row>
    <row r="8" spans="1:16" ht="13.5" customHeight="1">
      <c r="A8" s="37" t="s">
        <v>31</v>
      </c>
      <c r="B8" s="38"/>
      <c r="C8" s="37" t="s">
        <v>39</v>
      </c>
      <c r="D8" s="27"/>
      <c r="E8" s="37" t="s">
        <v>40</v>
      </c>
      <c r="F8" s="39">
        <f>F69</f>
        <v>2414143.48</v>
      </c>
      <c r="G8" s="39">
        <f t="shared" ref="G8:H8" si="10">G69</f>
        <v>2414143.48</v>
      </c>
      <c r="H8" s="39">
        <f t="shared" si="10"/>
        <v>0</v>
      </c>
      <c r="I8" s="27"/>
      <c r="J8" s="35">
        <v>2025</v>
      </c>
      <c r="K8" s="37" t="s">
        <v>34</v>
      </c>
      <c r="L8" s="40">
        <f>SUM(F23,F39,F47,F48,F55,F65,F72,F83,F107,F127)</f>
        <v>2511896.0299999998</v>
      </c>
      <c r="M8" s="40">
        <f t="shared" ref="M8:N8" si="11">SUM(G23,G39,G47,G48,G55,G65,G72,G83,G107,G127)</f>
        <v>2511896.0099999998</v>
      </c>
      <c r="N8" s="40">
        <f t="shared" si="11"/>
        <v>1.9999999989522621E-2</v>
      </c>
      <c r="O8" s="27"/>
      <c r="P8" s="27"/>
    </row>
    <row r="9" spans="1:16" ht="13.5" customHeight="1">
      <c r="A9" s="37" t="s">
        <v>31</v>
      </c>
      <c r="B9" s="38"/>
      <c r="C9" s="37" t="s">
        <v>41</v>
      </c>
      <c r="D9" s="27"/>
      <c r="E9" s="27"/>
      <c r="F9" s="39">
        <f>F79</f>
        <v>1171175.22</v>
      </c>
      <c r="G9" s="39">
        <f t="shared" ref="G9:H9" si="12">G79</f>
        <v>1171175.22</v>
      </c>
      <c r="H9" s="39">
        <f t="shared" si="12"/>
        <v>0</v>
      </c>
      <c r="I9" s="27"/>
      <c r="J9" s="35">
        <v>2025</v>
      </c>
      <c r="K9" s="37" t="s">
        <v>8</v>
      </c>
      <c r="L9" s="40">
        <f>SUM(F24,F40,F56,F66,F73,F84,F98,F108,F115,F120,F122,F128,F124,F130,F134,F137)</f>
        <v>4036957.07</v>
      </c>
      <c r="M9" s="40">
        <f>SUM(G24,G40,G56,G66,G73,G84,G98,G108,G115,G120,G122,G128,G124,G130,G134,G137)</f>
        <v>4036957.07</v>
      </c>
      <c r="N9" s="40">
        <f>SUM(H24,H40,H56,H66,H73,H84,H98,H108,H115,H120,H122,H128,H124,H130,H134,H137)</f>
        <v>0</v>
      </c>
      <c r="O9" s="27"/>
      <c r="P9" s="27"/>
    </row>
    <row r="10" spans="1:16" ht="13.5" customHeight="1">
      <c r="A10" s="37" t="s">
        <v>31</v>
      </c>
      <c r="B10" s="38"/>
      <c r="C10" s="37" t="s">
        <v>43</v>
      </c>
      <c r="D10" s="27"/>
      <c r="E10" s="27"/>
      <c r="F10" s="39">
        <f>F89</f>
        <v>870556.32</v>
      </c>
      <c r="G10" s="39">
        <f t="shared" ref="G10:H10" si="13">G89</f>
        <v>870556.32</v>
      </c>
      <c r="H10" s="39">
        <f t="shared" si="13"/>
        <v>0</v>
      </c>
      <c r="I10" s="27"/>
      <c r="J10" s="35">
        <v>2025</v>
      </c>
      <c r="K10" s="37" t="s">
        <v>9</v>
      </c>
      <c r="L10" s="40">
        <f>SUM(F25,F41,F57,F67,F74,F85,F90,F99,F109,F116,F121,F123,F125,F126,F129,F131,F135,F138)</f>
        <v>4318954.04</v>
      </c>
      <c r="M10" s="40">
        <f t="shared" ref="M10:N10" si="14">SUM(G25,G41,G57,G67,G74,G85,G90,G99,G109,G116,G121,G123,G125,G126,G129,G131,G135,G138)</f>
        <v>4318954.07</v>
      </c>
      <c r="N10" s="40">
        <f t="shared" si="14"/>
        <v>0</v>
      </c>
      <c r="O10" s="27"/>
      <c r="P10" s="27"/>
    </row>
    <row r="11" spans="1:16" ht="13.5" customHeight="1">
      <c r="A11" s="37" t="s">
        <v>31</v>
      </c>
      <c r="B11" s="38"/>
      <c r="C11" s="37" t="s">
        <v>45</v>
      </c>
      <c r="D11" s="27"/>
      <c r="E11" s="27"/>
      <c r="F11" s="39">
        <f>F97</f>
        <v>1713929</v>
      </c>
      <c r="G11" s="39">
        <f t="shared" ref="G11:H11" si="15">G97</f>
        <v>1713929</v>
      </c>
      <c r="H11" s="39">
        <f t="shared" si="15"/>
        <v>0</v>
      </c>
      <c r="I11" s="27"/>
      <c r="J11" s="35">
        <v>2025</v>
      </c>
      <c r="K11" s="37" t="s">
        <v>10</v>
      </c>
      <c r="L11" s="40">
        <f>SUM(F26,F58,F68,F75,F86,F91,F100,F110,F117,F132,F136,F139)</f>
        <v>3415933.3800000004</v>
      </c>
      <c r="M11" s="40">
        <f t="shared" ref="M11:N11" si="16">SUM(G26,G58,G68,G75,G86,G91,G100,G110,G117,G132,G136,G139)</f>
        <v>3415933.3800000004</v>
      </c>
      <c r="N11" s="40">
        <f t="shared" si="16"/>
        <v>0</v>
      </c>
      <c r="O11" s="27"/>
      <c r="P11" s="27"/>
    </row>
    <row r="12" spans="1:16" ht="13.5" customHeight="1">
      <c r="A12" s="37" t="s">
        <v>31</v>
      </c>
      <c r="B12" s="38"/>
      <c r="C12" s="37" t="s">
        <v>47</v>
      </c>
      <c r="D12" s="27"/>
      <c r="E12" s="27"/>
      <c r="F12" s="39">
        <f>F106</f>
        <v>4816108.4800000004</v>
      </c>
      <c r="G12" s="39">
        <f t="shared" ref="G12:H12" si="17">G106</f>
        <v>4816108.4800000004</v>
      </c>
      <c r="H12" s="39">
        <f t="shared" si="17"/>
        <v>0</v>
      </c>
      <c r="I12" s="27"/>
      <c r="J12" s="35">
        <v>2025</v>
      </c>
      <c r="K12" s="37" t="s">
        <v>11</v>
      </c>
      <c r="L12" s="40">
        <f>SUM(F27,F76,F87,F92,F101,F111,F118,F133,F140)</f>
        <v>2451784.0999999996</v>
      </c>
      <c r="M12" s="40">
        <f t="shared" ref="M12:N12" si="18">SUM(G27,G76,G87,G92,G101,G111,G118,G133,G140)</f>
        <v>2451784.0999999996</v>
      </c>
      <c r="N12" s="40">
        <f t="shared" si="18"/>
        <v>0</v>
      </c>
      <c r="O12" s="27"/>
      <c r="P12" s="27"/>
    </row>
    <row r="13" spans="1:16" ht="13.5" customHeight="1">
      <c r="A13" s="37" t="s">
        <v>31</v>
      </c>
      <c r="B13" s="38"/>
      <c r="C13" s="37" t="s">
        <v>49</v>
      </c>
      <c r="D13" s="27"/>
      <c r="E13" s="27"/>
      <c r="F13" s="39">
        <f>F114</f>
        <v>3924049.36</v>
      </c>
      <c r="G13" s="39">
        <f t="shared" ref="G13:H13" si="19">G114</f>
        <v>3924049.36</v>
      </c>
      <c r="H13" s="39">
        <f t="shared" si="19"/>
        <v>0</v>
      </c>
      <c r="I13" s="27"/>
      <c r="J13" s="35">
        <v>2025</v>
      </c>
      <c r="K13" s="37" t="s">
        <v>12</v>
      </c>
      <c r="L13" s="40">
        <f>SUM(F28,F77,F88,F93,F102,F112,F141)</f>
        <v>1872647.72</v>
      </c>
      <c r="M13" s="40">
        <f>SUM(G28,G77,G88,G93,G102,G112,G141)</f>
        <v>1872647.72</v>
      </c>
      <c r="N13" s="40">
        <f>SUM(H28,H77,H88,H93,H102,H112,H141)</f>
        <v>0</v>
      </c>
      <c r="O13" s="27"/>
      <c r="P13" s="27"/>
    </row>
    <row r="14" spans="1:16" ht="13.5" customHeight="1">
      <c r="A14" s="37" t="s">
        <v>31</v>
      </c>
      <c r="B14" s="38"/>
      <c r="C14" s="37" t="s">
        <v>50</v>
      </c>
      <c r="D14" s="27"/>
      <c r="E14" s="27"/>
      <c r="F14" s="39">
        <f>F119</f>
        <v>1878716.96</v>
      </c>
      <c r="G14" s="39">
        <f t="shared" ref="G14:H14" si="20">G119</f>
        <v>1878716.96</v>
      </c>
      <c r="H14" s="39">
        <f t="shared" si="20"/>
        <v>0</v>
      </c>
      <c r="I14" s="27"/>
      <c r="J14" s="35">
        <v>2025</v>
      </c>
      <c r="K14" s="37" t="s">
        <v>42</v>
      </c>
      <c r="L14" s="40">
        <f>SUM(F29,F78,F94,F103,F113,F142)</f>
        <v>1775919.32</v>
      </c>
      <c r="M14" s="40">
        <f>SUM(G29,G78,G94,G103,G113,G142)</f>
        <v>1775919.32</v>
      </c>
      <c r="N14" s="40">
        <f>SUM(H29,H78,H94,H103,H113,H142)</f>
        <v>0</v>
      </c>
      <c r="O14" s="27"/>
      <c r="P14" s="27"/>
    </row>
    <row r="15" spans="1:16" ht="13.5" customHeight="1">
      <c r="A15" s="37" t="s">
        <v>51</v>
      </c>
      <c r="B15" s="38"/>
      <c r="C15" s="37" t="s">
        <v>52</v>
      </c>
      <c r="D15" s="27"/>
      <c r="E15" s="27"/>
      <c r="F15" s="39">
        <f>F146</f>
        <v>2209285.3599999994</v>
      </c>
      <c r="G15" s="39">
        <f t="shared" ref="G15:H15" si="21">G146</f>
        <v>2209285.3599999994</v>
      </c>
      <c r="H15" s="39">
        <f t="shared" si="21"/>
        <v>0</v>
      </c>
      <c r="I15" s="27"/>
      <c r="J15" s="35">
        <v>2026</v>
      </c>
      <c r="K15" s="37" t="s">
        <v>44</v>
      </c>
      <c r="L15" s="40">
        <f>SUM(F95,F104,F143)</f>
        <v>882324.34000000008</v>
      </c>
      <c r="M15" s="40">
        <f t="shared" ref="M15:N15" si="22">SUM(G95,G104,G143)</f>
        <v>882324.34000000008</v>
      </c>
      <c r="N15" s="40">
        <f t="shared" si="22"/>
        <v>0</v>
      </c>
      <c r="O15" s="27"/>
      <c r="P15" s="27"/>
    </row>
    <row r="16" spans="1:16" ht="13.5" customHeight="1">
      <c r="A16" s="27"/>
      <c r="B16" s="38"/>
      <c r="C16" s="27"/>
      <c r="D16" s="27"/>
      <c r="E16" s="27"/>
      <c r="F16" s="39"/>
      <c r="G16" s="39"/>
      <c r="H16" s="39"/>
      <c r="I16" s="27"/>
      <c r="J16" s="35">
        <v>2026</v>
      </c>
      <c r="K16" s="37" t="s">
        <v>46</v>
      </c>
      <c r="L16" s="40">
        <f>SUM(F96,F105,F144)</f>
        <v>882324.34000000008</v>
      </c>
      <c r="M16" s="40">
        <f t="shared" ref="M16:N16" si="23">SUM(G96,G105,G144)</f>
        <v>882324.34000000008</v>
      </c>
      <c r="N16" s="40">
        <f t="shared" si="23"/>
        <v>0</v>
      </c>
      <c r="O16" s="27"/>
      <c r="P16" s="27"/>
    </row>
    <row r="17" spans="1:16" ht="15.75" customHeight="1">
      <c r="A17" s="27"/>
      <c r="B17" s="27"/>
      <c r="C17" s="27"/>
      <c r="D17" s="27"/>
      <c r="E17" s="27"/>
      <c r="F17" s="39">
        <f>SUM(F3:F16)</f>
        <v>30280330.290000003</v>
      </c>
      <c r="G17" s="39">
        <f>SUM(G3:G16)</f>
        <v>30280330.300000001</v>
      </c>
      <c r="H17" s="39">
        <f>SUM(H3:H16)</f>
        <v>1.9999999989522621E-2</v>
      </c>
      <c r="I17" s="27"/>
      <c r="J17" s="35">
        <v>2026</v>
      </c>
      <c r="K17" s="37" t="s">
        <v>48</v>
      </c>
      <c r="L17" s="40">
        <f>SUM(F145)</f>
        <v>35463.78</v>
      </c>
      <c r="M17" s="40">
        <f t="shared" ref="M17:N17" si="24">SUM(G145)</f>
        <v>35463.78</v>
      </c>
      <c r="N17" s="40">
        <f t="shared" si="24"/>
        <v>0</v>
      </c>
      <c r="O17" s="27"/>
      <c r="P17" s="27"/>
    </row>
    <row r="18" spans="1:16" ht="13.5" customHeight="1">
      <c r="A18" s="27"/>
      <c r="B18" s="27"/>
      <c r="C18" s="27"/>
      <c r="D18" s="27"/>
      <c r="E18" s="27"/>
      <c r="F18" s="27"/>
      <c r="G18" s="41"/>
      <c r="H18" s="27"/>
      <c r="I18" s="27"/>
      <c r="J18" s="35">
        <v>2026</v>
      </c>
      <c r="K18" s="37" t="s">
        <v>95</v>
      </c>
      <c r="L18" s="40"/>
      <c r="M18" s="40"/>
      <c r="N18" s="27"/>
      <c r="O18" s="27"/>
      <c r="P18" s="27"/>
    </row>
    <row r="19" spans="1:16" ht="13.5" customHeight="1">
      <c r="A19" s="42"/>
      <c r="B19" s="42"/>
      <c r="C19" s="42"/>
      <c r="D19" s="42"/>
      <c r="E19" s="42"/>
      <c r="F19" s="42"/>
      <c r="G19" s="42"/>
      <c r="H19" s="42"/>
      <c r="I19" s="27"/>
      <c r="J19" s="35">
        <v>2026</v>
      </c>
      <c r="K19" s="37" t="s">
        <v>96</v>
      </c>
      <c r="O19" s="174"/>
      <c r="P19" s="27"/>
    </row>
    <row r="20" spans="1:16" ht="20.75" customHeight="1">
      <c r="A20" s="43" t="s">
        <v>15</v>
      </c>
      <c r="B20" s="44" t="s">
        <v>53</v>
      </c>
      <c r="C20" s="45" t="s">
        <v>24</v>
      </c>
      <c r="D20" s="44" t="s">
        <v>54</v>
      </c>
      <c r="E20" s="44" t="s">
        <v>55</v>
      </c>
      <c r="F20" s="44" t="s">
        <v>56</v>
      </c>
      <c r="G20" s="44" t="s">
        <v>57</v>
      </c>
      <c r="H20" s="44" t="s">
        <v>58</v>
      </c>
      <c r="I20" s="46"/>
      <c r="J20" s="35">
        <v>2026</v>
      </c>
      <c r="K20" s="37" t="s">
        <v>34</v>
      </c>
      <c r="L20" s="27"/>
      <c r="M20" s="27"/>
      <c r="N20" s="27"/>
      <c r="O20" s="27"/>
      <c r="P20" s="27"/>
    </row>
    <row r="21" spans="1:16" ht="13.5" customHeight="1">
      <c r="A21" s="47" t="s">
        <v>31</v>
      </c>
      <c r="B21" s="47" t="s">
        <v>59</v>
      </c>
      <c r="C21" s="48">
        <v>45754</v>
      </c>
      <c r="D21" s="47" t="s">
        <v>60</v>
      </c>
      <c r="E21" s="47" t="s">
        <v>61</v>
      </c>
      <c r="F21" s="49">
        <v>202885.84</v>
      </c>
      <c r="G21" s="49">
        <v>202885.84</v>
      </c>
      <c r="H21" s="49">
        <f t="shared" ref="H21:H29" si="25">F21-G21</f>
        <v>0</v>
      </c>
      <c r="I21" s="27"/>
      <c r="J21" s="35">
        <v>2026</v>
      </c>
      <c r="K21" s="37" t="s">
        <v>8</v>
      </c>
      <c r="L21" s="27"/>
      <c r="M21" s="27"/>
      <c r="N21" s="27"/>
      <c r="O21" s="27"/>
      <c r="P21" s="27"/>
    </row>
    <row r="22" spans="1:16" ht="13.5" customHeight="1">
      <c r="A22" s="50" t="s">
        <v>31</v>
      </c>
      <c r="B22" s="50" t="s">
        <v>62</v>
      </c>
      <c r="C22" s="51">
        <v>45784</v>
      </c>
      <c r="D22" s="50" t="s">
        <v>60</v>
      </c>
      <c r="E22" s="50" t="s">
        <v>61</v>
      </c>
      <c r="F22" s="52">
        <v>202885.84</v>
      </c>
      <c r="G22" s="52">
        <v>202885.84</v>
      </c>
      <c r="H22" s="52">
        <f t="shared" si="25"/>
        <v>0</v>
      </c>
      <c r="I22" s="27"/>
      <c r="J22" s="35">
        <v>2026</v>
      </c>
      <c r="K22" s="37" t="s">
        <v>9</v>
      </c>
      <c r="L22" s="27"/>
      <c r="M22" s="27"/>
      <c r="N22" s="27"/>
      <c r="O22" s="27"/>
      <c r="P22" s="27"/>
    </row>
    <row r="23" spans="1:16" ht="13.5" customHeight="1">
      <c r="A23" s="50" t="s">
        <v>31</v>
      </c>
      <c r="B23" s="50" t="s">
        <v>63</v>
      </c>
      <c r="C23" s="51">
        <v>45818</v>
      </c>
      <c r="D23" s="50" t="s">
        <v>60</v>
      </c>
      <c r="E23" s="50" t="s">
        <v>61</v>
      </c>
      <c r="F23" s="52">
        <v>202885.84</v>
      </c>
      <c r="G23" s="52">
        <v>202885.84</v>
      </c>
      <c r="H23" s="52">
        <f t="shared" si="25"/>
        <v>0</v>
      </c>
      <c r="I23" s="27"/>
      <c r="J23" s="35">
        <v>2026</v>
      </c>
      <c r="K23" s="37" t="s">
        <v>10</v>
      </c>
      <c r="L23" s="27"/>
      <c r="M23" s="27"/>
      <c r="N23" s="27"/>
      <c r="O23" s="27"/>
      <c r="P23" s="27"/>
    </row>
    <row r="24" spans="1:16" ht="13.5" customHeight="1">
      <c r="A24" s="50" t="s">
        <v>31</v>
      </c>
      <c r="B24" s="50" t="s">
        <v>64</v>
      </c>
      <c r="C24" s="51">
        <v>45845</v>
      </c>
      <c r="D24" s="50" t="s">
        <v>60</v>
      </c>
      <c r="E24" s="50" t="s">
        <v>61</v>
      </c>
      <c r="F24" s="52">
        <v>202885.84</v>
      </c>
      <c r="G24" s="52">
        <v>202885.84</v>
      </c>
      <c r="H24" s="52">
        <f t="shared" si="25"/>
        <v>0</v>
      </c>
      <c r="I24" s="27"/>
      <c r="J24" s="35">
        <v>2026</v>
      </c>
      <c r="K24" s="37" t="s">
        <v>11</v>
      </c>
      <c r="L24" s="27"/>
      <c r="M24" s="27"/>
      <c r="N24" s="27"/>
      <c r="O24" s="27"/>
      <c r="P24" s="27"/>
    </row>
    <row r="25" spans="1:16" ht="13.5" customHeight="1">
      <c r="A25" s="50" t="s">
        <v>31</v>
      </c>
      <c r="B25" s="50" t="s">
        <v>65</v>
      </c>
      <c r="C25" s="51">
        <v>45876</v>
      </c>
      <c r="D25" s="50" t="s">
        <v>60</v>
      </c>
      <c r="E25" s="50" t="s">
        <v>61</v>
      </c>
      <c r="F25" s="52">
        <v>202885.84</v>
      </c>
      <c r="G25" s="52">
        <v>202885.84</v>
      </c>
      <c r="H25" s="52">
        <f t="shared" si="25"/>
        <v>0</v>
      </c>
      <c r="I25" s="27"/>
      <c r="J25" s="35">
        <v>2026</v>
      </c>
      <c r="K25" s="37" t="s">
        <v>12</v>
      </c>
      <c r="L25" s="21"/>
      <c r="M25" s="21"/>
      <c r="N25" s="21"/>
      <c r="O25" s="27"/>
      <c r="P25" s="27"/>
    </row>
    <row r="26" spans="1:16" ht="13.5" customHeight="1">
      <c r="A26" s="50" t="s">
        <v>31</v>
      </c>
      <c r="B26" s="50" t="s">
        <v>66</v>
      </c>
      <c r="C26" s="51">
        <v>45908</v>
      </c>
      <c r="D26" s="50" t="s">
        <v>60</v>
      </c>
      <c r="E26" s="50" t="s">
        <v>61</v>
      </c>
      <c r="F26" s="52">
        <v>202885.84</v>
      </c>
      <c r="G26" s="52">
        <v>202885.84</v>
      </c>
      <c r="H26" s="52">
        <f t="shared" si="25"/>
        <v>0</v>
      </c>
      <c r="I26" s="27"/>
      <c r="J26" s="35">
        <v>2026</v>
      </c>
      <c r="K26" s="37" t="s">
        <v>42</v>
      </c>
      <c r="L26" s="27"/>
      <c r="M26" s="27"/>
      <c r="N26" s="27"/>
      <c r="O26" s="27"/>
      <c r="P26" s="27"/>
    </row>
    <row r="27" spans="1:16" ht="13.5" customHeight="1">
      <c r="A27" s="50" t="s">
        <v>31</v>
      </c>
      <c r="B27" s="50" t="s">
        <v>67</v>
      </c>
      <c r="C27" s="51">
        <v>45937</v>
      </c>
      <c r="D27" s="50" t="s">
        <v>60</v>
      </c>
      <c r="E27" s="50" t="s">
        <v>61</v>
      </c>
      <c r="F27" s="52">
        <v>202885.84</v>
      </c>
      <c r="G27" s="52">
        <v>202885.84</v>
      </c>
      <c r="H27" s="52">
        <f t="shared" si="25"/>
        <v>0</v>
      </c>
      <c r="I27" s="27"/>
      <c r="J27" s="27"/>
      <c r="K27" s="27"/>
      <c r="L27" s="27"/>
      <c r="M27" s="27"/>
      <c r="N27" s="27"/>
      <c r="O27" s="27"/>
      <c r="P27" s="27"/>
    </row>
    <row r="28" spans="1:16" ht="13.5" customHeight="1">
      <c r="A28" s="50" t="s">
        <v>31</v>
      </c>
      <c r="B28" s="50" t="s">
        <v>68</v>
      </c>
      <c r="C28" s="51">
        <v>45968</v>
      </c>
      <c r="D28" s="50" t="s">
        <v>60</v>
      </c>
      <c r="E28" s="50" t="s">
        <v>61</v>
      </c>
      <c r="F28" s="52">
        <v>202885.84</v>
      </c>
      <c r="G28" s="52">
        <v>202885.84</v>
      </c>
      <c r="H28" s="52">
        <f t="shared" si="25"/>
        <v>0</v>
      </c>
      <c r="I28" s="27"/>
      <c r="J28" s="27"/>
      <c r="K28" s="27"/>
      <c r="L28" s="27"/>
      <c r="M28" s="27"/>
      <c r="N28" s="27"/>
      <c r="O28" s="27"/>
      <c r="P28" s="27"/>
    </row>
    <row r="29" spans="1:16" ht="13.5" customHeight="1">
      <c r="A29" s="50" t="s">
        <v>31</v>
      </c>
      <c r="B29" s="50" t="s">
        <v>69</v>
      </c>
      <c r="C29" s="51">
        <v>45999</v>
      </c>
      <c r="D29" s="50" t="s">
        <v>60</v>
      </c>
      <c r="E29" s="50" t="s">
        <v>61</v>
      </c>
      <c r="F29" s="53">
        <v>202885.92</v>
      </c>
      <c r="G29" s="53">
        <v>202885.92</v>
      </c>
      <c r="H29" s="53">
        <f t="shared" si="25"/>
        <v>0</v>
      </c>
      <c r="I29" s="27"/>
      <c r="J29" s="27"/>
      <c r="K29" s="27"/>
      <c r="L29" s="40">
        <f>SUBTOTAL(9,L3:L18)</f>
        <v>30280330.289999999</v>
      </c>
      <c r="M29" s="40">
        <f>SUBTOTAL(9,M3:M18)</f>
        <v>30280330.299999997</v>
      </c>
      <c r="N29" s="40">
        <f>SUBTOTAL(9,N3:N18)</f>
        <v>1.9999999989522621E-2</v>
      </c>
      <c r="O29" s="27"/>
      <c r="P29" s="27"/>
    </row>
    <row r="30" spans="1:16" ht="13.5" customHeight="1">
      <c r="A30" s="54"/>
      <c r="B30" s="54"/>
      <c r="C30" s="51"/>
      <c r="D30" s="54"/>
      <c r="E30" s="55"/>
      <c r="F30" s="56">
        <f>SUM(F21:F29)</f>
        <v>1825972.6400000001</v>
      </c>
      <c r="G30" s="57">
        <f>SUM(G21:G29)</f>
        <v>1825972.6400000001</v>
      </c>
      <c r="H30" s="57">
        <f>SUM(H21:H29)</f>
        <v>0</v>
      </c>
      <c r="I30" s="46"/>
      <c r="J30" s="27"/>
      <c r="K30" s="27"/>
      <c r="L30" s="27"/>
      <c r="M30" s="27"/>
      <c r="N30" s="27"/>
      <c r="O30" s="27"/>
      <c r="P30" s="27"/>
    </row>
    <row r="31" spans="1:16" ht="13.5" customHeight="1">
      <c r="A31" s="50" t="s">
        <v>31</v>
      </c>
      <c r="B31" s="50" t="s">
        <v>65</v>
      </c>
      <c r="C31" s="51">
        <v>45670</v>
      </c>
      <c r="D31" s="50" t="s">
        <v>70</v>
      </c>
      <c r="E31" s="50" t="s">
        <v>61</v>
      </c>
      <c r="F31" s="49">
        <v>214742.76</v>
      </c>
      <c r="G31" s="49">
        <v>214742.76</v>
      </c>
      <c r="H31" s="49">
        <f>F31-G31</f>
        <v>0</v>
      </c>
      <c r="I31" s="27"/>
      <c r="J31" s="27"/>
      <c r="K31" s="27"/>
      <c r="L31" s="27"/>
      <c r="M31" s="27"/>
      <c r="N31" s="27"/>
      <c r="O31" s="27"/>
      <c r="P31" s="27"/>
    </row>
    <row r="32" spans="1:16" ht="13.5" customHeight="1">
      <c r="A32" s="50" t="s">
        <v>31</v>
      </c>
      <c r="B32" s="50" t="s">
        <v>66</v>
      </c>
      <c r="C32" s="51">
        <v>45701</v>
      </c>
      <c r="D32" s="50" t="s">
        <v>70</v>
      </c>
      <c r="E32" s="50" t="s">
        <v>61</v>
      </c>
      <c r="F32" s="53">
        <v>214742.74</v>
      </c>
      <c r="G32" s="53">
        <v>214742.74</v>
      </c>
      <c r="H32" s="53">
        <f>F32-G32</f>
        <v>0</v>
      </c>
      <c r="I32" s="27"/>
      <c r="J32" s="27"/>
      <c r="K32" s="27"/>
      <c r="L32" s="27"/>
      <c r="M32" s="27"/>
      <c r="N32" s="27"/>
      <c r="O32" s="27"/>
      <c r="P32" s="27"/>
    </row>
    <row r="33" spans="1:16" ht="13.5" customHeight="1">
      <c r="A33" s="54"/>
      <c r="B33" s="54"/>
      <c r="C33" s="51"/>
      <c r="D33" s="54"/>
      <c r="E33" s="55"/>
      <c r="F33" s="56">
        <f>SUM(F31:F32)</f>
        <v>429485.5</v>
      </c>
      <c r="G33" s="57">
        <f>SUM(G31:G32)</f>
        <v>429485.5</v>
      </c>
      <c r="H33" s="57">
        <f>SUM(H31:H32)</f>
        <v>0</v>
      </c>
      <c r="I33" s="46"/>
      <c r="J33" s="27"/>
      <c r="K33" s="27"/>
      <c r="L33" s="27"/>
      <c r="M33" s="27"/>
      <c r="N33" s="27"/>
      <c r="O33" s="27"/>
      <c r="P33" s="27"/>
    </row>
    <row r="34" spans="1:16" ht="13.5" customHeight="1">
      <c r="A34" s="50" t="s">
        <v>31</v>
      </c>
      <c r="B34" s="50" t="s">
        <v>65</v>
      </c>
      <c r="C34" s="51">
        <v>45669</v>
      </c>
      <c r="D34" s="50" t="s">
        <v>71</v>
      </c>
      <c r="E34" s="50" t="s">
        <v>72</v>
      </c>
      <c r="F34" s="49">
        <v>539220.73</v>
      </c>
      <c r="G34" s="49">
        <v>539220.73</v>
      </c>
      <c r="H34" s="49">
        <f t="shared" ref="H34:H40" si="26">F34-G34</f>
        <v>0</v>
      </c>
      <c r="I34" s="27"/>
      <c r="J34" s="27"/>
      <c r="K34" s="27"/>
      <c r="L34" s="27"/>
      <c r="M34" s="27"/>
      <c r="N34" s="27"/>
      <c r="O34" s="27"/>
      <c r="P34" s="27"/>
    </row>
    <row r="35" spans="1:16" ht="13.5" customHeight="1">
      <c r="A35" s="50" t="s">
        <v>31</v>
      </c>
      <c r="B35" s="50" t="s">
        <v>66</v>
      </c>
      <c r="C35" s="51">
        <v>45700</v>
      </c>
      <c r="D35" s="50" t="s">
        <v>71</v>
      </c>
      <c r="E35" s="50" t="s">
        <v>72</v>
      </c>
      <c r="F35" s="52">
        <v>539220.73</v>
      </c>
      <c r="G35" s="52">
        <v>539220.73</v>
      </c>
      <c r="H35" s="52">
        <f t="shared" si="26"/>
        <v>0</v>
      </c>
      <c r="I35" s="27"/>
      <c r="J35" s="27"/>
      <c r="K35" s="27"/>
      <c r="L35" s="27"/>
      <c r="M35" s="27"/>
      <c r="N35" s="27"/>
      <c r="O35" s="27"/>
      <c r="P35" s="27"/>
    </row>
    <row r="36" spans="1:16" ht="13.5" customHeight="1">
      <c r="A36" s="50" t="s">
        <v>31</v>
      </c>
      <c r="B36" s="50" t="s">
        <v>67</v>
      </c>
      <c r="C36" s="51">
        <v>45728</v>
      </c>
      <c r="D36" s="50" t="s">
        <v>71</v>
      </c>
      <c r="E36" s="50" t="s">
        <v>72</v>
      </c>
      <c r="F36" s="52">
        <v>539220.73</v>
      </c>
      <c r="G36" s="52">
        <v>539220.73</v>
      </c>
      <c r="H36" s="52">
        <f t="shared" si="26"/>
        <v>0</v>
      </c>
      <c r="I36" s="27"/>
      <c r="J36" s="27"/>
      <c r="K36" s="27"/>
      <c r="L36" s="27"/>
      <c r="M36" s="27"/>
      <c r="N36" s="27"/>
      <c r="O36" s="27"/>
      <c r="P36" s="27"/>
    </row>
    <row r="37" spans="1:16" ht="13.5" customHeight="1">
      <c r="A37" s="50" t="s">
        <v>31</v>
      </c>
      <c r="B37" s="50" t="s">
        <v>68</v>
      </c>
      <c r="C37" s="51">
        <v>45759</v>
      </c>
      <c r="D37" s="50" t="s">
        <v>71</v>
      </c>
      <c r="E37" s="50" t="s">
        <v>72</v>
      </c>
      <c r="F37" s="52">
        <v>539220.73</v>
      </c>
      <c r="G37" s="52">
        <v>539220.73</v>
      </c>
      <c r="H37" s="52">
        <f t="shared" si="26"/>
        <v>0</v>
      </c>
      <c r="I37" s="27"/>
      <c r="J37" s="27"/>
      <c r="K37" s="27"/>
      <c r="L37" s="27"/>
      <c r="M37" s="27"/>
      <c r="N37" s="27"/>
      <c r="O37" s="27"/>
      <c r="P37" s="27"/>
    </row>
    <row r="38" spans="1:16" ht="13.5" customHeight="1">
      <c r="A38" s="50" t="s">
        <v>31</v>
      </c>
      <c r="B38" s="50" t="s">
        <v>69</v>
      </c>
      <c r="C38" s="51">
        <v>45789</v>
      </c>
      <c r="D38" s="50" t="s">
        <v>71</v>
      </c>
      <c r="E38" s="50" t="s">
        <v>72</v>
      </c>
      <c r="F38" s="52">
        <v>539220.73</v>
      </c>
      <c r="G38" s="52">
        <v>539220.73</v>
      </c>
      <c r="H38" s="52">
        <f t="shared" si="26"/>
        <v>0</v>
      </c>
      <c r="I38" s="27"/>
      <c r="J38" s="27"/>
      <c r="K38" s="27"/>
      <c r="L38" s="27"/>
      <c r="M38" s="27"/>
      <c r="N38" s="27"/>
      <c r="O38" s="27"/>
      <c r="P38" s="27"/>
    </row>
    <row r="39" spans="1:16" ht="13.5" customHeight="1">
      <c r="A39" s="50" t="s">
        <v>31</v>
      </c>
      <c r="B39" s="50" t="s">
        <v>73</v>
      </c>
      <c r="C39" s="51">
        <v>45820</v>
      </c>
      <c r="D39" s="50" t="s">
        <v>71</v>
      </c>
      <c r="E39" s="50" t="s">
        <v>72</v>
      </c>
      <c r="F39" s="52">
        <v>539220.73</v>
      </c>
      <c r="G39" s="52">
        <v>539220.73</v>
      </c>
      <c r="H39" s="52">
        <f t="shared" si="26"/>
        <v>0</v>
      </c>
      <c r="I39" s="27"/>
      <c r="J39" s="27"/>
      <c r="K39" s="27"/>
      <c r="L39" s="27"/>
      <c r="M39" s="27"/>
      <c r="N39" s="27"/>
      <c r="O39" s="27"/>
      <c r="P39" s="27"/>
    </row>
    <row r="40" spans="1:16" ht="13.5" customHeight="1">
      <c r="A40" s="50" t="s">
        <v>31</v>
      </c>
      <c r="B40" s="50" t="s">
        <v>74</v>
      </c>
      <c r="C40" s="51">
        <v>45850</v>
      </c>
      <c r="D40" s="50" t="s">
        <v>71</v>
      </c>
      <c r="E40" s="50" t="s">
        <v>72</v>
      </c>
      <c r="F40" s="52">
        <v>539220.73</v>
      </c>
      <c r="G40" s="52">
        <v>539220.73</v>
      </c>
      <c r="H40" s="52">
        <f t="shared" si="26"/>
        <v>0</v>
      </c>
      <c r="I40" s="27"/>
      <c r="J40" s="27"/>
      <c r="K40" s="27"/>
      <c r="L40" s="27"/>
      <c r="M40" s="27"/>
      <c r="N40" s="27"/>
      <c r="O40" s="27"/>
      <c r="P40" s="27"/>
    </row>
    <row r="41" spans="1:16" ht="13.5" customHeight="1">
      <c r="A41" s="50" t="s">
        <v>31</v>
      </c>
      <c r="B41" s="50" t="s">
        <v>75</v>
      </c>
      <c r="C41" s="51">
        <v>45881</v>
      </c>
      <c r="D41" s="50" t="s">
        <v>71</v>
      </c>
      <c r="E41" s="50" t="s">
        <v>72</v>
      </c>
      <c r="F41" s="53">
        <v>539220.69999999995</v>
      </c>
      <c r="G41" s="53">
        <v>539220.73</v>
      </c>
      <c r="H41" s="53">
        <v>0</v>
      </c>
      <c r="I41" s="27"/>
      <c r="J41" s="27"/>
      <c r="K41" s="27"/>
      <c r="L41" s="27"/>
      <c r="M41" s="27"/>
      <c r="N41" s="27"/>
      <c r="O41" s="27"/>
      <c r="P41" s="27"/>
    </row>
    <row r="42" spans="1:16" ht="13.5" customHeight="1">
      <c r="A42" s="54"/>
      <c r="B42" s="54"/>
      <c r="C42" s="51"/>
      <c r="D42" s="54"/>
      <c r="E42" s="55"/>
      <c r="F42" s="56">
        <f>SUM(F34:F41)</f>
        <v>4313765.8099999996</v>
      </c>
      <c r="G42" s="57">
        <f>SUM(G34:G41)</f>
        <v>4313765.84</v>
      </c>
      <c r="H42" s="57">
        <f>SUM(H34:H41)</f>
        <v>0</v>
      </c>
      <c r="I42" s="46"/>
      <c r="J42" s="27"/>
      <c r="K42" s="27"/>
      <c r="L42" s="27"/>
      <c r="M42" s="27"/>
      <c r="N42" s="27"/>
      <c r="O42" s="27"/>
      <c r="P42" s="27"/>
    </row>
    <row r="43" spans="1:16" ht="13.5" customHeight="1">
      <c r="A43" s="50" t="s">
        <v>76</v>
      </c>
      <c r="B43" s="50" t="s">
        <v>67</v>
      </c>
      <c r="C43" s="51">
        <v>45688</v>
      </c>
      <c r="D43" s="50" t="s">
        <v>77</v>
      </c>
      <c r="E43" s="50" t="s">
        <v>61</v>
      </c>
      <c r="F43" s="49">
        <v>82073.460000000006</v>
      </c>
      <c r="G43" s="49">
        <v>82073.460000000006</v>
      </c>
      <c r="H43" s="49">
        <f t="shared" ref="H43:H48" si="27">F43-G43</f>
        <v>0</v>
      </c>
      <c r="I43" s="27"/>
      <c r="J43" s="27"/>
      <c r="K43" s="27"/>
      <c r="L43" s="27"/>
      <c r="M43" s="27"/>
      <c r="N43" s="27"/>
      <c r="O43" s="27"/>
      <c r="P43" s="27"/>
    </row>
    <row r="44" spans="1:16" ht="13.5" customHeight="1">
      <c r="A44" s="50" t="s">
        <v>76</v>
      </c>
      <c r="B44" s="50" t="s">
        <v>68</v>
      </c>
      <c r="C44" s="51">
        <v>45716</v>
      </c>
      <c r="D44" s="50" t="s">
        <v>77</v>
      </c>
      <c r="E44" s="50" t="s">
        <v>61</v>
      </c>
      <c r="F44" s="52">
        <v>82073.460000000006</v>
      </c>
      <c r="G44" s="52">
        <v>82073.460000000006</v>
      </c>
      <c r="H44" s="52">
        <f t="shared" si="27"/>
        <v>0</v>
      </c>
      <c r="I44" s="27"/>
      <c r="J44" s="27"/>
      <c r="K44" s="27"/>
      <c r="L44" s="27"/>
      <c r="M44" s="27"/>
      <c r="N44" s="27"/>
      <c r="O44" s="27"/>
      <c r="P44" s="27"/>
    </row>
    <row r="45" spans="1:16" ht="13.5" customHeight="1">
      <c r="A45" s="50" t="s">
        <v>76</v>
      </c>
      <c r="B45" s="50" t="s">
        <v>69</v>
      </c>
      <c r="C45" s="51">
        <v>45749</v>
      </c>
      <c r="D45" s="50" t="s">
        <v>77</v>
      </c>
      <c r="E45" s="50" t="s">
        <v>61</v>
      </c>
      <c r="F45" s="52">
        <v>82073.460000000006</v>
      </c>
      <c r="G45" s="52">
        <v>82073.460000000006</v>
      </c>
      <c r="H45" s="52">
        <f t="shared" si="27"/>
        <v>0</v>
      </c>
      <c r="I45" s="27"/>
      <c r="J45" s="27"/>
      <c r="K45" s="27"/>
      <c r="L45" s="27"/>
      <c r="M45" s="27"/>
      <c r="N45" s="27"/>
      <c r="O45" s="27"/>
      <c r="P45" s="27"/>
    </row>
    <row r="46" spans="1:16" ht="13.5" customHeight="1">
      <c r="A46" s="50" t="s">
        <v>76</v>
      </c>
      <c r="B46" s="50" t="s">
        <v>73</v>
      </c>
      <c r="C46" s="51">
        <v>45777</v>
      </c>
      <c r="D46" s="50" t="s">
        <v>77</v>
      </c>
      <c r="E46" s="50" t="s">
        <v>61</v>
      </c>
      <c r="F46" s="52">
        <v>82073.460000000006</v>
      </c>
      <c r="G46" s="52">
        <v>82073.460000000006</v>
      </c>
      <c r="H46" s="52">
        <f t="shared" si="27"/>
        <v>0</v>
      </c>
      <c r="I46" s="27"/>
      <c r="J46" s="27"/>
      <c r="K46" s="27"/>
      <c r="L46" s="27"/>
      <c r="M46" s="27"/>
      <c r="N46" s="27"/>
      <c r="O46" s="27"/>
      <c r="P46" s="27"/>
    </row>
    <row r="47" spans="1:16" ht="13.5" customHeight="1">
      <c r="A47" s="50" t="s">
        <v>76</v>
      </c>
      <c r="B47" s="50" t="s">
        <v>74</v>
      </c>
      <c r="C47" s="51">
        <v>45810</v>
      </c>
      <c r="D47" s="50" t="s">
        <v>77</v>
      </c>
      <c r="E47" s="50" t="s">
        <v>61</v>
      </c>
      <c r="F47" s="52">
        <v>82073.460000000006</v>
      </c>
      <c r="G47" s="52">
        <v>82073.460000000006</v>
      </c>
      <c r="H47" s="52">
        <f t="shared" si="27"/>
        <v>0</v>
      </c>
      <c r="I47" s="27"/>
      <c r="J47" s="27"/>
      <c r="K47" s="27"/>
      <c r="L47" s="27"/>
      <c r="M47" s="27"/>
      <c r="N47" s="27"/>
      <c r="O47" s="27"/>
      <c r="P47" s="27"/>
    </row>
    <row r="48" spans="1:16" ht="13.5" customHeight="1">
      <c r="A48" s="50" t="s">
        <v>76</v>
      </c>
      <c r="B48" s="50" t="s">
        <v>75</v>
      </c>
      <c r="C48" s="51">
        <v>45838</v>
      </c>
      <c r="D48" s="50" t="s">
        <v>77</v>
      </c>
      <c r="E48" s="50" t="s">
        <v>61</v>
      </c>
      <c r="F48" s="53">
        <v>82073.48</v>
      </c>
      <c r="G48" s="53">
        <v>82073.460000000006</v>
      </c>
      <c r="H48" s="53">
        <f t="shared" si="27"/>
        <v>1.9999999989522621E-2</v>
      </c>
      <c r="I48" s="27"/>
      <c r="J48" s="27"/>
      <c r="K48" s="27"/>
      <c r="L48" s="27"/>
      <c r="M48" s="27"/>
      <c r="N48" s="27"/>
      <c r="O48" s="27"/>
      <c r="P48" s="27"/>
    </row>
    <row r="49" spans="1:16" ht="13.5" customHeight="1">
      <c r="A49" s="54"/>
      <c r="B49" s="54"/>
      <c r="C49" s="51"/>
      <c r="D49" s="54"/>
      <c r="E49" s="55"/>
      <c r="F49" s="56">
        <f>SUM(F43:F48)</f>
        <v>492440.78</v>
      </c>
      <c r="G49" s="57">
        <f>SUM(G43:G48)</f>
        <v>492440.76000000007</v>
      </c>
      <c r="H49" s="57">
        <f>SUM(H43:H48)</f>
        <v>1.9999999989522621E-2</v>
      </c>
      <c r="I49" s="46"/>
      <c r="J49" s="27"/>
      <c r="K49" s="27"/>
      <c r="L49" s="27"/>
      <c r="M49" s="27"/>
      <c r="N49" s="27"/>
      <c r="O49" s="27"/>
      <c r="P49" s="27"/>
    </row>
    <row r="50" spans="1:16" ht="13.5" customHeight="1">
      <c r="A50" s="50" t="s">
        <v>31</v>
      </c>
      <c r="B50" s="50" t="s">
        <v>59</v>
      </c>
      <c r="C50" s="51">
        <v>45684</v>
      </c>
      <c r="D50" s="50" t="s">
        <v>70</v>
      </c>
      <c r="E50" s="50" t="s">
        <v>61</v>
      </c>
      <c r="F50" s="49">
        <v>468966.82</v>
      </c>
      <c r="G50" s="49">
        <v>468966.82</v>
      </c>
      <c r="H50" s="49">
        <f t="shared" ref="H50:H58" si="28">F50-G50</f>
        <v>0</v>
      </c>
      <c r="I50" s="27"/>
      <c r="J50" s="27"/>
      <c r="K50" s="27"/>
      <c r="L50" s="27"/>
      <c r="M50" s="27"/>
      <c r="N50" s="27"/>
      <c r="O50" s="27"/>
      <c r="P50" s="27"/>
    </row>
    <row r="51" spans="1:16" ht="13.5" customHeight="1">
      <c r="A51" s="50" t="s">
        <v>31</v>
      </c>
      <c r="B51" s="50" t="s">
        <v>62</v>
      </c>
      <c r="C51" s="51">
        <v>45714</v>
      </c>
      <c r="D51" s="50" t="s">
        <v>70</v>
      </c>
      <c r="E51" s="50" t="s">
        <v>61</v>
      </c>
      <c r="F51" s="52">
        <v>468966.82</v>
      </c>
      <c r="G51" s="52">
        <v>468966.82</v>
      </c>
      <c r="H51" s="52">
        <f t="shared" si="28"/>
        <v>0</v>
      </c>
      <c r="I51" s="27"/>
      <c r="J51" s="27"/>
      <c r="K51" s="27"/>
      <c r="L51" s="27"/>
      <c r="M51" s="27"/>
      <c r="N51" s="27"/>
      <c r="O51" s="27"/>
      <c r="P51" s="27"/>
    </row>
    <row r="52" spans="1:16" ht="13.5" customHeight="1">
      <c r="A52" s="50" t="s">
        <v>31</v>
      </c>
      <c r="B52" s="50" t="s">
        <v>63</v>
      </c>
      <c r="C52" s="51">
        <v>45742</v>
      </c>
      <c r="D52" s="50" t="s">
        <v>70</v>
      </c>
      <c r="E52" s="50" t="s">
        <v>61</v>
      </c>
      <c r="F52" s="52">
        <v>468966.82</v>
      </c>
      <c r="G52" s="52">
        <v>468966.82</v>
      </c>
      <c r="H52" s="52">
        <f t="shared" si="28"/>
        <v>0</v>
      </c>
      <c r="I52" s="27"/>
      <c r="J52" s="27"/>
      <c r="K52" s="27"/>
      <c r="L52" s="27"/>
      <c r="M52" s="27"/>
      <c r="N52" s="27"/>
      <c r="O52" s="27"/>
      <c r="P52" s="27"/>
    </row>
    <row r="53" spans="1:16" ht="13.5" customHeight="1">
      <c r="A53" s="50" t="s">
        <v>31</v>
      </c>
      <c r="B53" s="50" t="s">
        <v>64</v>
      </c>
      <c r="C53" s="51">
        <v>45775</v>
      </c>
      <c r="D53" s="50" t="s">
        <v>70</v>
      </c>
      <c r="E53" s="50" t="s">
        <v>61</v>
      </c>
      <c r="F53" s="52">
        <v>468966.82</v>
      </c>
      <c r="G53" s="52">
        <v>468966.82</v>
      </c>
      <c r="H53" s="52">
        <f t="shared" si="28"/>
        <v>0</v>
      </c>
      <c r="I53" s="27"/>
      <c r="J53" s="27"/>
      <c r="K53" s="27"/>
      <c r="L53" s="27"/>
      <c r="M53" s="27"/>
      <c r="N53" s="27"/>
      <c r="O53" s="27"/>
      <c r="P53" s="27"/>
    </row>
    <row r="54" spans="1:16" ht="13.5" customHeight="1">
      <c r="A54" s="50" t="s">
        <v>31</v>
      </c>
      <c r="B54" s="50" t="s">
        <v>65</v>
      </c>
      <c r="C54" s="51">
        <v>45803</v>
      </c>
      <c r="D54" s="50" t="s">
        <v>70</v>
      </c>
      <c r="E54" s="50" t="s">
        <v>61</v>
      </c>
      <c r="F54" s="52">
        <v>468966.82</v>
      </c>
      <c r="G54" s="52">
        <v>468966.82</v>
      </c>
      <c r="H54" s="52">
        <f t="shared" si="28"/>
        <v>0</v>
      </c>
      <c r="I54" s="27"/>
      <c r="J54" s="27"/>
      <c r="K54" s="27"/>
      <c r="L54" s="27"/>
      <c r="M54" s="27"/>
      <c r="N54" s="27"/>
      <c r="O54" s="27"/>
      <c r="P54" s="27"/>
    </row>
    <row r="55" spans="1:16" ht="13.5" customHeight="1">
      <c r="A55" s="50" t="s">
        <v>31</v>
      </c>
      <c r="B55" s="50" t="s">
        <v>66</v>
      </c>
      <c r="C55" s="51">
        <v>45834</v>
      </c>
      <c r="D55" s="50" t="s">
        <v>70</v>
      </c>
      <c r="E55" s="50" t="s">
        <v>61</v>
      </c>
      <c r="F55" s="52">
        <v>468966.82</v>
      </c>
      <c r="G55" s="52">
        <v>468966.82</v>
      </c>
      <c r="H55" s="52">
        <f t="shared" si="28"/>
        <v>0</v>
      </c>
      <c r="I55" s="27"/>
      <c r="J55" s="27"/>
      <c r="K55" s="27"/>
      <c r="L55" s="27"/>
      <c r="M55" s="27"/>
      <c r="N55" s="27"/>
      <c r="O55" s="27"/>
      <c r="P55" s="27"/>
    </row>
    <row r="56" spans="1:16" ht="13.5" customHeight="1">
      <c r="A56" s="50" t="s">
        <v>31</v>
      </c>
      <c r="B56" s="50" t="s">
        <v>67</v>
      </c>
      <c r="C56" s="51">
        <v>45866</v>
      </c>
      <c r="D56" s="50" t="s">
        <v>70</v>
      </c>
      <c r="E56" s="50" t="s">
        <v>61</v>
      </c>
      <c r="F56" s="52">
        <v>468966.82</v>
      </c>
      <c r="G56" s="52">
        <v>468966.82</v>
      </c>
      <c r="H56" s="52">
        <f t="shared" si="28"/>
        <v>0</v>
      </c>
      <c r="I56" s="27"/>
      <c r="J56" s="27"/>
      <c r="K56" s="27"/>
      <c r="L56" s="27"/>
      <c r="M56" s="27"/>
      <c r="N56" s="27"/>
      <c r="O56" s="27"/>
      <c r="P56" s="27"/>
    </row>
    <row r="57" spans="1:16" ht="13.5" customHeight="1">
      <c r="A57" s="50" t="s">
        <v>31</v>
      </c>
      <c r="B57" s="50" t="s">
        <v>68</v>
      </c>
      <c r="C57" s="51">
        <v>45895</v>
      </c>
      <c r="D57" s="50" t="s">
        <v>70</v>
      </c>
      <c r="E57" s="50" t="s">
        <v>61</v>
      </c>
      <c r="F57" s="52">
        <v>468966.82</v>
      </c>
      <c r="G57" s="52">
        <v>468966.82</v>
      </c>
      <c r="H57" s="52">
        <f t="shared" si="28"/>
        <v>0</v>
      </c>
      <c r="I57" s="27"/>
      <c r="J57" s="27"/>
      <c r="K57" s="27"/>
      <c r="L57" s="27"/>
      <c r="M57" s="27"/>
      <c r="N57" s="27"/>
      <c r="O57" s="27"/>
      <c r="P57" s="27"/>
    </row>
    <row r="58" spans="1:16" ht="13.5" customHeight="1">
      <c r="A58" s="50" t="s">
        <v>31</v>
      </c>
      <c r="B58" s="50" t="s">
        <v>69</v>
      </c>
      <c r="C58" s="51">
        <v>45926</v>
      </c>
      <c r="D58" s="50" t="s">
        <v>70</v>
      </c>
      <c r="E58" s="50" t="s">
        <v>61</v>
      </c>
      <c r="F58" s="53">
        <v>468966.82</v>
      </c>
      <c r="G58" s="52">
        <v>468966.82</v>
      </c>
      <c r="H58" s="53">
        <f t="shared" si="28"/>
        <v>0</v>
      </c>
      <c r="I58" s="27"/>
      <c r="J58" s="27"/>
      <c r="K58" s="27"/>
      <c r="L58" s="27"/>
      <c r="M58" s="27"/>
      <c r="N58" s="27"/>
      <c r="O58" s="27"/>
      <c r="P58" s="27"/>
    </row>
    <row r="59" spans="1:16" ht="13.5" customHeight="1">
      <c r="A59" s="54"/>
      <c r="B59" s="54"/>
      <c r="C59" s="51"/>
      <c r="D59" s="54"/>
      <c r="E59" s="55"/>
      <c r="F59" s="56">
        <f>SUM(F50:F58)</f>
        <v>4220701.38</v>
      </c>
      <c r="G59" s="57">
        <f>SUM(G50:G58)</f>
        <v>4220701.38</v>
      </c>
      <c r="H59" s="57">
        <f>SUM(H50:H58)</f>
        <v>0</v>
      </c>
      <c r="I59" s="46"/>
      <c r="J59" s="27"/>
      <c r="K59" s="27"/>
      <c r="L59" s="27"/>
      <c r="M59" s="27"/>
      <c r="N59" s="27"/>
      <c r="O59" s="27"/>
      <c r="P59" s="27"/>
    </row>
    <row r="60" spans="1:16" ht="13.5" customHeight="1">
      <c r="A60" s="50" t="s">
        <v>31</v>
      </c>
      <c r="B60" s="50" t="s">
        <v>59</v>
      </c>
      <c r="C60" s="51">
        <v>45684</v>
      </c>
      <c r="D60" s="50" t="s">
        <v>70</v>
      </c>
      <c r="E60" s="50" t="s">
        <v>61</v>
      </c>
      <c r="F60" s="49">
        <v>268238.15999999997</v>
      </c>
      <c r="G60" s="49">
        <v>268238.15999999997</v>
      </c>
      <c r="H60" s="49">
        <f t="shared" ref="H60:H68" si="29">F60-G60</f>
        <v>0</v>
      </c>
      <c r="I60" s="27"/>
      <c r="J60" s="27"/>
      <c r="K60" s="27"/>
      <c r="L60" s="27"/>
      <c r="M60" s="27"/>
      <c r="N60" s="27"/>
      <c r="O60" s="27"/>
      <c r="P60" s="27"/>
    </row>
    <row r="61" spans="1:16" ht="13.5" customHeight="1">
      <c r="A61" s="50" t="s">
        <v>31</v>
      </c>
      <c r="B61" s="50" t="s">
        <v>62</v>
      </c>
      <c r="C61" s="51">
        <v>45715</v>
      </c>
      <c r="D61" s="50" t="s">
        <v>70</v>
      </c>
      <c r="E61" s="50" t="s">
        <v>61</v>
      </c>
      <c r="F61" s="52">
        <v>268238.15999999997</v>
      </c>
      <c r="G61" s="52">
        <v>268238.15999999997</v>
      </c>
      <c r="H61" s="52">
        <f t="shared" si="29"/>
        <v>0</v>
      </c>
      <c r="I61" s="27"/>
      <c r="J61" s="27"/>
      <c r="K61" s="27"/>
      <c r="L61" s="27"/>
      <c r="M61" s="27"/>
      <c r="N61" s="27"/>
      <c r="O61" s="27"/>
      <c r="P61" s="27"/>
    </row>
    <row r="62" spans="1:16" ht="13.5" customHeight="1">
      <c r="A62" s="50" t="s">
        <v>31</v>
      </c>
      <c r="B62" s="50" t="s">
        <v>63</v>
      </c>
      <c r="C62" s="51">
        <v>45743</v>
      </c>
      <c r="D62" s="50" t="s">
        <v>70</v>
      </c>
      <c r="E62" s="50" t="s">
        <v>61</v>
      </c>
      <c r="F62" s="52">
        <v>268238.15999999997</v>
      </c>
      <c r="G62" s="52">
        <v>268238.15999999997</v>
      </c>
      <c r="H62" s="52">
        <f t="shared" si="29"/>
        <v>0</v>
      </c>
      <c r="I62" s="27"/>
      <c r="J62" s="27"/>
      <c r="K62" s="27"/>
      <c r="L62" s="27"/>
      <c r="M62" s="27"/>
      <c r="N62" s="27"/>
      <c r="O62" s="27"/>
      <c r="P62" s="27"/>
    </row>
    <row r="63" spans="1:16" ht="13.5" customHeight="1">
      <c r="A63" s="50" t="s">
        <v>31</v>
      </c>
      <c r="B63" s="50" t="s">
        <v>64</v>
      </c>
      <c r="C63" s="51">
        <v>45775</v>
      </c>
      <c r="D63" s="50" t="s">
        <v>70</v>
      </c>
      <c r="E63" s="50" t="s">
        <v>61</v>
      </c>
      <c r="F63" s="52">
        <v>268238.15999999997</v>
      </c>
      <c r="G63" s="52">
        <v>268238.15999999997</v>
      </c>
      <c r="H63" s="52">
        <f t="shared" si="29"/>
        <v>0</v>
      </c>
      <c r="I63" s="27"/>
      <c r="J63" s="27"/>
      <c r="K63" s="27"/>
      <c r="L63" s="27"/>
      <c r="M63" s="27"/>
      <c r="N63" s="27"/>
      <c r="O63" s="27"/>
      <c r="P63" s="27"/>
    </row>
    <row r="64" spans="1:16" ht="13.5" customHeight="1">
      <c r="A64" s="50" t="s">
        <v>31</v>
      </c>
      <c r="B64" s="50" t="s">
        <v>65</v>
      </c>
      <c r="C64" s="51">
        <v>45804</v>
      </c>
      <c r="D64" s="50" t="s">
        <v>70</v>
      </c>
      <c r="E64" s="50" t="s">
        <v>61</v>
      </c>
      <c r="F64" s="52">
        <v>268238.15999999997</v>
      </c>
      <c r="G64" s="52">
        <v>268238.15999999997</v>
      </c>
      <c r="H64" s="52">
        <f t="shared" si="29"/>
        <v>0</v>
      </c>
      <c r="I64" s="27"/>
      <c r="J64" s="27"/>
      <c r="K64" s="27"/>
      <c r="L64" s="27"/>
      <c r="M64" s="27"/>
      <c r="N64" s="27"/>
      <c r="O64" s="27"/>
      <c r="P64" s="27"/>
    </row>
    <row r="65" spans="1:16" ht="13.5" customHeight="1">
      <c r="A65" s="50" t="s">
        <v>31</v>
      </c>
      <c r="B65" s="50" t="s">
        <v>66</v>
      </c>
      <c r="C65" s="51">
        <v>45835</v>
      </c>
      <c r="D65" s="50" t="s">
        <v>70</v>
      </c>
      <c r="E65" s="50" t="s">
        <v>61</v>
      </c>
      <c r="F65" s="52">
        <v>268238.15999999997</v>
      </c>
      <c r="G65" s="52">
        <v>268238.15999999997</v>
      </c>
      <c r="H65" s="52">
        <f t="shared" si="29"/>
        <v>0</v>
      </c>
      <c r="I65" s="27"/>
      <c r="J65" s="27"/>
      <c r="K65" s="27"/>
      <c r="L65" s="27"/>
      <c r="M65" s="27"/>
      <c r="N65" s="27"/>
      <c r="O65" s="27"/>
      <c r="P65" s="27"/>
    </row>
    <row r="66" spans="1:16" ht="13.5" customHeight="1">
      <c r="A66" s="50" t="s">
        <v>31</v>
      </c>
      <c r="B66" s="50" t="s">
        <v>67</v>
      </c>
      <c r="C66" s="51">
        <v>45866</v>
      </c>
      <c r="D66" s="50" t="s">
        <v>70</v>
      </c>
      <c r="E66" s="50" t="s">
        <v>61</v>
      </c>
      <c r="F66" s="52">
        <v>268238.15999999997</v>
      </c>
      <c r="G66" s="52">
        <v>268238.15999999997</v>
      </c>
      <c r="H66" s="52">
        <f t="shared" si="29"/>
        <v>0</v>
      </c>
      <c r="I66" s="27"/>
      <c r="J66" s="27"/>
      <c r="K66" s="27"/>
      <c r="L66" s="27"/>
      <c r="M66" s="27"/>
      <c r="N66" s="27"/>
      <c r="O66" s="27"/>
      <c r="P66" s="27"/>
    </row>
    <row r="67" spans="1:16" ht="13.5" customHeight="1">
      <c r="A67" s="50" t="s">
        <v>31</v>
      </c>
      <c r="B67" s="50" t="s">
        <v>68</v>
      </c>
      <c r="C67" s="51">
        <v>45896</v>
      </c>
      <c r="D67" s="50" t="s">
        <v>70</v>
      </c>
      <c r="E67" s="50" t="s">
        <v>61</v>
      </c>
      <c r="F67" s="52">
        <v>268238.15999999997</v>
      </c>
      <c r="G67" s="52">
        <v>268238.15999999997</v>
      </c>
      <c r="H67" s="52">
        <f t="shared" si="29"/>
        <v>0</v>
      </c>
      <c r="I67" s="27"/>
      <c r="J67" s="27"/>
      <c r="K67" s="27"/>
      <c r="L67" s="27"/>
      <c r="M67" s="27"/>
      <c r="N67" s="27"/>
      <c r="O67" s="27"/>
      <c r="P67" s="27"/>
    </row>
    <row r="68" spans="1:16" ht="13.5" customHeight="1">
      <c r="A68" s="50" t="s">
        <v>31</v>
      </c>
      <c r="B68" s="50" t="s">
        <v>69</v>
      </c>
      <c r="C68" s="51">
        <v>45929</v>
      </c>
      <c r="D68" s="50" t="s">
        <v>70</v>
      </c>
      <c r="E68" s="50" t="s">
        <v>61</v>
      </c>
      <c r="F68" s="53">
        <v>268238.2</v>
      </c>
      <c r="G68" s="52">
        <v>268238.2</v>
      </c>
      <c r="H68" s="53">
        <f t="shared" si="29"/>
        <v>0</v>
      </c>
      <c r="I68" s="27"/>
      <c r="J68" s="27"/>
      <c r="K68" s="27"/>
      <c r="L68" s="27"/>
      <c r="M68" s="27"/>
      <c r="N68" s="27"/>
      <c r="O68" s="27"/>
      <c r="P68" s="27"/>
    </row>
    <row r="69" spans="1:16" ht="13.5" customHeight="1">
      <c r="A69" s="54"/>
      <c r="B69" s="54"/>
      <c r="C69" s="54"/>
      <c r="D69" s="54"/>
      <c r="E69" s="55"/>
      <c r="F69" s="56">
        <f>SUM(F60:F68)</f>
        <v>2414143.48</v>
      </c>
      <c r="G69" s="57">
        <f>SUM(G60:G68)</f>
        <v>2414143.48</v>
      </c>
      <c r="H69" s="57">
        <f>SUM(H60:H68)</f>
        <v>0</v>
      </c>
      <c r="I69" s="46"/>
      <c r="J69" s="27"/>
      <c r="K69" s="27"/>
      <c r="L69" s="27"/>
      <c r="M69" s="27"/>
      <c r="N69" s="27"/>
      <c r="O69" s="27"/>
      <c r="P69" s="27"/>
    </row>
    <row r="70" spans="1:16" ht="13.5" customHeight="1">
      <c r="A70" s="50" t="s">
        <v>31</v>
      </c>
      <c r="B70" s="50" t="s">
        <v>59</v>
      </c>
      <c r="C70" s="51">
        <v>45749</v>
      </c>
      <c r="D70" s="50" t="s">
        <v>78</v>
      </c>
      <c r="E70" s="50" t="s">
        <v>61</v>
      </c>
      <c r="F70" s="49">
        <v>130130.58</v>
      </c>
      <c r="G70" s="49">
        <v>130130.58</v>
      </c>
      <c r="H70" s="49">
        <f t="shared" ref="H70:H78" si="30">F70-G70</f>
        <v>0</v>
      </c>
      <c r="I70" s="27"/>
      <c r="J70" s="27"/>
      <c r="K70" s="27"/>
      <c r="L70" s="27"/>
      <c r="M70" s="27"/>
      <c r="N70" s="27"/>
      <c r="O70" s="27"/>
      <c r="P70" s="27"/>
    </row>
    <row r="71" spans="1:16" ht="13.5" customHeight="1">
      <c r="A71" s="50" t="s">
        <v>31</v>
      </c>
      <c r="B71" s="50" t="s">
        <v>62</v>
      </c>
      <c r="C71" s="51">
        <v>45779</v>
      </c>
      <c r="D71" s="50" t="s">
        <v>78</v>
      </c>
      <c r="E71" s="50" t="s">
        <v>61</v>
      </c>
      <c r="F71" s="52">
        <v>130130.58</v>
      </c>
      <c r="G71" s="52">
        <v>130130.58</v>
      </c>
      <c r="H71" s="52">
        <f t="shared" si="30"/>
        <v>0</v>
      </c>
      <c r="I71" s="27"/>
      <c r="J71" s="27"/>
      <c r="K71" s="27"/>
      <c r="L71" s="27"/>
      <c r="M71" s="27"/>
      <c r="N71" s="27"/>
      <c r="O71" s="27"/>
      <c r="P71" s="27"/>
    </row>
    <row r="72" spans="1:16" ht="13.5" customHeight="1">
      <c r="A72" s="50" t="s">
        <v>31</v>
      </c>
      <c r="B72" s="50" t="s">
        <v>63</v>
      </c>
      <c r="C72" s="51">
        <v>45810</v>
      </c>
      <c r="D72" s="50" t="s">
        <v>78</v>
      </c>
      <c r="E72" s="50" t="s">
        <v>61</v>
      </c>
      <c r="F72" s="52">
        <v>130130.58</v>
      </c>
      <c r="G72" s="52">
        <v>130130.58</v>
      </c>
      <c r="H72" s="52">
        <f t="shared" si="30"/>
        <v>0</v>
      </c>
      <c r="I72" s="27"/>
      <c r="J72" s="27"/>
      <c r="K72" s="27"/>
      <c r="L72" s="27"/>
      <c r="M72" s="27"/>
      <c r="N72" s="27"/>
      <c r="O72" s="27"/>
      <c r="P72" s="27"/>
    </row>
    <row r="73" spans="1:16" ht="13.5" customHeight="1">
      <c r="A73" s="50" t="s">
        <v>31</v>
      </c>
      <c r="B73" s="50" t="s">
        <v>64</v>
      </c>
      <c r="C73" s="51">
        <v>45840</v>
      </c>
      <c r="D73" s="50" t="s">
        <v>78</v>
      </c>
      <c r="E73" s="50" t="s">
        <v>61</v>
      </c>
      <c r="F73" s="52">
        <v>130130.58</v>
      </c>
      <c r="G73" s="52">
        <v>130130.58</v>
      </c>
      <c r="H73" s="52">
        <f t="shared" si="30"/>
        <v>0</v>
      </c>
      <c r="I73" s="27"/>
      <c r="J73" s="27"/>
      <c r="K73" s="27"/>
      <c r="L73" s="27"/>
      <c r="M73" s="27"/>
      <c r="N73" s="27"/>
      <c r="O73" s="27"/>
      <c r="P73" s="27"/>
    </row>
    <row r="74" spans="1:16" ht="13.5" customHeight="1">
      <c r="A74" s="50" t="s">
        <v>31</v>
      </c>
      <c r="B74" s="50" t="s">
        <v>65</v>
      </c>
      <c r="C74" s="51">
        <v>45873</v>
      </c>
      <c r="D74" s="50" t="s">
        <v>78</v>
      </c>
      <c r="E74" s="50" t="s">
        <v>61</v>
      </c>
      <c r="F74" s="52">
        <v>130130.58</v>
      </c>
      <c r="G74" s="52">
        <v>130130.58</v>
      </c>
      <c r="H74" s="52">
        <f t="shared" si="30"/>
        <v>0</v>
      </c>
      <c r="I74" s="27"/>
      <c r="J74" s="27"/>
      <c r="K74" s="27"/>
      <c r="L74" s="27"/>
      <c r="M74" s="27"/>
      <c r="N74" s="27"/>
      <c r="O74" s="27"/>
      <c r="P74" s="27"/>
    </row>
    <row r="75" spans="1:16" ht="13.5" customHeight="1">
      <c r="A75" s="50" t="s">
        <v>31</v>
      </c>
      <c r="B75" s="50" t="s">
        <v>66</v>
      </c>
      <c r="C75" s="51">
        <v>45902</v>
      </c>
      <c r="D75" s="50" t="s">
        <v>78</v>
      </c>
      <c r="E75" s="50" t="s">
        <v>61</v>
      </c>
      <c r="F75" s="52">
        <v>130130.58</v>
      </c>
      <c r="G75" s="52">
        <v>130130.58</v>
      </c>
      <c r="H75" s="52">
        <f t="shared" si="30"/>
        <v>0</v>
      </c>
      <c r="I75" s="27"/>
      <c r="J75" s="27"/>
      <c r="K75" s="27"/>
      <c r="L75" s="27"/>
      <c r="M75" s="27"/>
      <c r="N75" s="27"/>
      <c r="O75" s="27"/>
      <c r="P75" s="27"/>
    </row>
    <row r="76" spans="1:16" ht="13.5" customHeight="1">
      <c r="A76" s="50" t="s">
        <v>31</v>
      </c>
      <c r="B76" s="50" t="s">
        <v>67</v>
      </c>
      <c r="C76" s="51">
        <v>45932</v>
      </c>
      <c r="D76" s="50" t="s">
        <v>78</v>
      </c>
      <c r="E76" s="50" t="s">
        <v>61</v>
      </c>
      <c r="F76" s="52">
        <v>130130.58</v>
      </c>
      <c r="G76" s="52">
        <v>130130.58</v>
      </c>
      <c r="H76" s="52">
        <f t="shared" si="30"/>
        <v>0</v>
      </c>
      <c r="I76" s="27"/>
      <c r="J76" s="27"/>
      <c r="K76" s="27"/>
      <c r="L76" s="27"/>
      <c r="M76" s="27"/>
      <c r="N76" s="27"/>
      <c r="O76" s="27"/>
      <c r="P76" s="27"/>
    </row>
    <row r="77" spans="1:16" ht="13.5" customHeight="1">
      <c r="A77" s="50" t="s">
        <v>31</v>
      </c>
      <c r="B77" s="50" t="s">
        <v>68</v>
      </c>
      <c r="C77" s="51">
        <v>45964</v>
      </c>
      <c r="D77" s="50" t="s">
        <v>78</v>
      </c>
      <c r="E77" s="50" t="s">
        <v>61</v>
      </c>
      <c r="F77" s="52">
        <v>130130.58</v>
      </c>
      <c r="G77" s="52">
        <v>130130.58</v>
      </c>
      <c r="H77" s="52">
        <f t="shared" si="30"/>
        <v>0</v>
      </c>
      <c r="I77" s="27"/>
      <c r="J77" s="27"/>
      <c r="K77" s="27"/>
      <c r="L77" s="27"/>
      <c r="M77" s="27"/>
      <c r="N77" s="27"/>
      <c r="O77" s="27"/>
      <c r="P77" s="27"/>
    </row>
    <row r="78" spans="1:16" ht="13.5" customHeight="1">
      <c r="A78" s="50" t="s">
        <v>31</v>
      </c>
      <c r="B78" s="50" t="s">
        <v>69</v>
      </c>
      <c r="C78" s="51">
        <v>45993</v>
      </c>
      <c r="D78" s="50" t="s">
        <v>78</v>
      </c>
      <c r="E78" s="50" t="s">
        <v>61</v>
      </c>
      <c r="F78" s="53">
        <v>130130.58</v>
      </c>
      <c r="G78" s="53">
        <v>130130.58</v>
      </c>
      <c r="H78" s="53">
        <f t="shared" si="30"/>
        <v>0</v>
      </c>
      <c r="I78" s="27"/>
      <c r="J78" s="27"/>
      <c r="K78" s="27"/>
      <c r="L78" s="27"/>
      <c r="M78" s="27"/>
      <c r="N78" s="27"/>
      <c r="O78" s="27"/>
      <c r="P78" s="27"/>
    </row>
    <row r="79" spans="1:16" ht="13.5" customHeight="1">
      <c r="A79" s="54"/>
      <c r="B79" s="54"/>
      <c r="C79" s="54"/>
      <c r="D79" s="54"/>
      <c r="E79" s="55"/>
      <c r="F79" s="56">
        <f>SUM(F70:F78)</f>
        <v>1171175.22</v>
      </c>
      <c r="G79" s="57">
        <f>SUM(G70:G78)</f>
        <v>1171175.22</v>
      </c>
      <c r="H79" s="57">
        <f>SUM(H70:H78)</f>
        <v>0</v>
      </c>
      <c r="I79" s="46"/>
      <c r="J79" s="27"/>
      <c r="K79" s="27"/>
      <c r="L79" s="27"/>
      <c r="M79" s="27"/>
      <c r="N79" s="27"/>
      <c r="O79" s="27"/>
      <c r="P79" s="27"/>
    </row>
    <row r="80" spans="1:16" ht="13.5" customHeight="1">
      <c r="A80" s="50" t="s">
        <v>31</v>
      </c>
      <c r="B80" s="50" t="s">
        <v>59</v>
      </c>
      <c r="C80" s="51">
        <v>45726</v>
      </c>
      <c r="D80" s="50" t="s">
        <v>43</v>
      </c>
      <c r="E80" s="50" t="s">
        <v>61</v>
      </c>
      <c r="F80" s="49">
        <v>96728.48</v>
      </c>
      <c r="G80" s="49">
        <v>96728.48</v>
      </c>
      <c r="H80" s="49">
        <f t="shared" ref="H80:H88" si="31">F80-G80</f>
        <v>0</v>
      </c>
      <c r="I80" s="27"/>
      <c r="J80" s="27"/>
      <c r="K80" s="27"/>
      <c r="L80" s="27"/>
      <c r="M80" s="27"/>
      <c r="N80" s="27"/>
      <c r="O80" s="27"/>
      <c r="P80" s="27"/>
    </row>
    <row r="81" spans="1:16" ht="13.5" customHeight="1">
      <c r="A81" s="50" t="s">
        <v>31</v>
      </c>
      <c r="B81" s="50" t="s">
        <v>62</v>
      </c>
      <c r="C81" s="51">
        <v>45757</v>
      </c>
      <c r="D81" s="50" t="s">
        <v>43</v>
      </c>
      <c r="E81" s="50" t="s">
        <v>61</v>
      </c>
      <c r="F81" s="52">
        <v>96728.48</v>
      </c>
      <c r="G81" s="52">
        <v>96728.48</v>
      </c>
      <c r="H81" s="52">
        <f t="shared" si="31"/>
        <v>0</v>
      </c>
      <c r="I81" s="27"/>
      <c r="J81" s="27"/>
      <c r="K81" s="27"/>
      <c r="L81" s="27"/>
      <c r="M81" s="27"/>
      <c r="N81" s="27"/>
      <c r="O81" s="27"/>
      <c r="P81" s="27"/>
    </row>
    <row r="82" spans="1:16" ht="13.5" customHeight="1">
      <c r="A82" s="50" t="s">
        <v>31</v>
      </c>
      <c r="B82" s="50" t="s">
        <v>63</v>
      </c>
      <c r="C82" s="51">
        <v>45789</v>
      </c>
      <c r="D82" s="50" t="s">
        <v>43</v>
      </c>
      <c r="E82" s="50" t="s">
        <v>61</v>
      </c>
      <c r="F82" s="52">
        <v>96728.48</v>
      </c>
      <c r="G82" s="52">
        <v>96728.48</v>
      </c>
      <c r="H82" s="52">
        <f t="shared" si="31"/>
        <v>0</v>
      </c>
      <c r="I82" s="27"/>
      <c r="J82" s="27"/>
      <c r="K82" s="27"/>
      <c r="L82" s="27"/>
      <c r="M82" s="27"/>
      <c r="N82" s="27"/>
      <c r="O82" s="27"/>
      <c r="P82" s="27"/>
    </row>
    <row r="83" spans="1:16" ht="13.5" customHeight="1">
      <c r="A83" s="50" t="s">
        <v>31</v>
      </c>
      <c r="B83" s="50" t="s">
        <v>64</v>
      </c>
      <c r="C83" s="51">
        <v>45818</v>
      </c>
      <c r="D83" s="50" t="s">
        <v>43</v>
      </c>
      <c r="E83" s="50" t="s">
        <v>61</v>
      </c>
      <c r="F83" s="52">
        <v>96728.48</v>
      </c>
      <c r="G83" s="52">
        <v>96728.48</v>
      </c>
      <c r="H83" s="52">
        <f t="shared" si="31"/>
        <v>0</v>
      </c>
      <c r="I83" s="27"/>
      <c r="J83" s="27"/>
      <c r="K83" s="27"/>
      <c r="L83" s="27"/>
      <c r="M83" s="27"/>
      <c r="N83" s="27"/>
      <c r="O83" s="27"/>
      <c r="P83" s="27"/>
    </row>
    <row r="84" spans="1:16" ht="13.5" customHeight="1">
      <c r="A84" s="50" t="s">
        <v>31</v>
      </c>
      <c r="B84" s="50" t="s">
        <v>65</v>
      </c>
      <c r="C84" s="51">
        <v>45848</v>
      </c>
      <c r="D84" s="50" t="s">
        <v>43</v>
      </c>
      <c r="E84" s="50" t="s">
        <v>61</v>
      </c>
      <c r="F84" s="52">
        <v>96728.48</v>
      </c>
      <c r="G84" s="52">
        <v>96728.48</v>
      </c>
      <c r="H84" s="52">
        <f t="shared" si="31"/>
        <v>0</v>
      </c>
      <c r="I84" s="27"/>
      <c r="J84" s="27"/>
      <c r="K84" s="27"/>
      <c r="L84" s="27"/>
      <c r="M84" s="27"/>
      <c r="N84" s="27"/>
      <c r="O84" s="27"/>
      <c r="P84" s="27"/>
    </row>
    <row r="85" spans="1:16" ht="13.5" customHeight="1">
      <c r="A85" s="50" t="s">
        <v>31</v>
      </c>
      <c r="B85" s="50" t="s">
        <v>66</v>
      </c>
      <c r="C85" s="51">
        <v>45880</v>
      </c>
      <c r="D85" s="50" t="s">
        <v>43</v>
      </c>
      <c r="E85" s="50" t="s">
        <v>61</v>
      </c>
      <c r="F85" s="52">
        <v>96728.48</v>
      </c>
      <c r="G85" s="52">
        <v>96728.48</v>
      </c>
      <c r="H85" s="52">
        <f t="shared" si="31"/>
        <v>0</v>
      </c>
      <c r="I85" s="27"/>
      <c r="J85" s="27"/>
      <c r="K85" s="27"/>
      <c r="L85" s="27"/>
      <c r="M85" s="27"/>
      <c r="N85" s="27"/>
      <c r="O85" s="27"/>
      <c r="P85" s="27"/>
    </row>
    <row r="86" spans="1:16" ht="13.5" customHeight="1">
      <c r="A86" s="50" t="s">
        <v>31</v>
      </c>
      <c r="B86" s="50" t="s">
        <v>67</v>
      </c>
      <c r="C86" s="51">
        <v>45910</v>
      </c>
      <c r="D86" s="50" t="s">
        <v>43</v>
      </c>
      <c r="E86" s="50" t="s">
        <v>61</v>
      </c>
      <c r="F86" s="52">
        <v>96728.48</v>
      </c>
      <c r="G86" s="52">
        <v>96728.48</v>
      </c>
      <c r="H86" s="52">
        <f t="shared" si="31"/>
        <v>0</v>
      </c>
      <c r="I86" s="27"/>
      <c r="J86" s="27"/>
      <c r="K86" s="27"/>
      <c r="L86" s="27"/>
      <c r="M86" s="27"/>
      <c r="N86" s="27"/>
      <c r="O86" s="27"/>
      <c r="P86" s="27"/>
    </row>
    <row r="87" spans="1:16" ht="13.5" customHeight="1">
      <c r="A87" s="50" t="s">
        <v>31</v>
      </c>
      <c r="B87" s="50" t="s">
        <v>68</v>
      </c>
      <c r="C87" s="51">
        <v>45940</v>
      </c>
      <c r="D87" s="50" t="s">
        <v>43</v>
      </c>
      <c r="E87" s="50" t="s">
        <v>61</v>
      </c>
      <c r="F87" s="52">
        <v>96728.48</v>
      </c>
      <c r="G87" s="52">
        <v>96728.48</v>
      </c>
      <c r="H87" s="52">
        <f t="shared" si="31"/>
        <v>0</v>
      </c>
      <c r="I87" s="27"/>
      <c r="J87" s="27"/>
      <c r="K87" s="27"/>
      <c r="L87" s="27"/>
      <c r="M87" s="27"/>
      <c r="N87" s="27"/>
      <c r="O87" s="27"/>
      <c r="P87" s="27"/>
    </row>
    <row r="88" spans="1:16" ht="13.5" customHeight="1">
      <c r="A88" s="50" t="s">
        <v>31</v>
      </c>
      <c r="B88" s="50" t="s">
        <v>69</v>
      </c>
      <c r="C88" s="51">
        <v>45971</v>
      </c>
      <c r="D88" s="50" t="s">
        <v>43</v>
      </c>
      <c r="E88" s="50" t="s">
        <v>61</v>
      </c>
      <c r="F88" s="53">
        <v>96728.48</v>
      </c>
      <c r="G88" s="52">
        <v>96728.48</v>
      </c>
      <c r="H88" s="53">
        <f t="shared" si="31"/>
        <v>0</v>
      </c>
      <c r="I88" s="27"/>
      <c r="J88" s="27"/>
      <c r="K88" s="27"/>
      <c r="L88" s="27"/>
      <c r="M88" s="27"/>
      <c r="N88" s="27"/>
      <c r="O88" s="27"/>
      <c r="P88" s="27"/>
    </row>
    <row r="89" spans="1:16" ht="13.5" customHeight="1">
      <c r="A89" s="54"/>
      <c r="B89" s="54"/>
      <c r="C89" s="54"/>
      <c r="D89" s="54"/>
      <c r="E89" s="55"/>
      <c r="F89" s="56">
        <f>SUM(F80:F88)</f>
        <v>870556.32</v>
      </c>
      <c r="G89" s="57">
        <f>SUM(G80:G88)</f>
        <v>870556.32</v>
      </c>
      <c r="H89" s="57">
        <f>SUM(H80:H88)</f>
        <v>0</v>
      </c>
      <c r="I89" s="46"/>
      <c r="J89" s="27"/>
      <c r="K89" s="27"/>
      <c r="L89" s="27"/>
      <c r="M89" s="27"/>
      <c r="N89" s="27"/>
      <c r="O89" s="27"/>
      <c r="P89" s="27"/>
    </row>
    <row r="90" spans="1:16" ht="13.5" customHeight="1">
      <c r="A90" s="50" t="s">
        <v>31</v>
      </c>
      <c r="B90" s="50" t="s">
        <v>59</v>
      </c>
      <c r="C90" s="51">
        <v>45877</v>
      </c>
      <c r="D90" s="50" t="s">
        <v>45</v>
      </c>
      <c r="E90" s="50" t="s">
        <v>61</v>
      </c>
      <c r="F90" s="49">
        <v>244847</v>
      </c>
      <c r="G90" s="49">
        <v>244847</v>
      </c>
      <c r="H90" s="49">
        <f t="shared" ref="H90:H96" si="32">F90-G90</f>
        <v>0</v>
      </c>
      <c r="I90" s="27"/>
      <c r="J90" s="27"/>
      <c r="K90" s="27"/>
      <c r="L90" s="27"/>
      <c r="M90" s="27"/>
      <c r="N90" s="27"/>
      <c r="O90" s="27"/>
      <c r="P90" s="27"/>
    </row>
    <row r="91" spans="1:16" ht="13.5" customHeight="1">
      <c r="A91" s="50" t="s">
        <v>31</v>
      </c>
      <c r="B91" s="50" t="s">
        <v>62</v>
      </c>
      <c r="C91" s="51">
        <v>45908</v>
      </c>
      <c r="D91" s="50" t="s">
        <v>45</v>
      </c>
      <c r="E91" s="50" t="s">
        <v>61</v>
      </c>
      <c r="F91" s="52">
        <v>244847</v>
      </c>
      <c r="G91" s="52">
        <v>244847</v>
      </c>
      <c r="H91" s="52">
        <f t="shared" si="32"/>
        <v>0</v>
      </c>
      <c r="I91" s="27"/>
      <c r="J91" s="27"/>
      <c r="K91" s="27"/>
      <c r="L91" s="27"/>
      <c r="M91" s="27"/>
      <c r="N91" s="27"/>
      <c r="O91" s="27"/>
      <c r="P91" s="27"/>
    </row>
    <row r="92" spans="1:16" ht="13.5" customHeight="1">
      <c r="A92" s="50" t="s">
        <v>31</v>
      </c>
      <c r="B92" s="50" t="s">
        <v>63</v>
      </c>
      <c r="C92" s="51">
        <v>45938</v>
      </c>
      <c r="D92" s="50" t="s">
        <v>45</v>
      </c>
      <c r="E92" s="50" t="s">
        <v>61</v>
      </c>
      <c r="F92" s="52">
        <v>244847</v>
      </c>
      <c r="G92" s="52">
        <v>244847</v>
      </c>
      <c r="H92" s="52">
        <f t="shared" si="32"/>
        <v>0</v>
      </c>
      <c r="I92" s="27"/>
      <c r="J92" s="27"/>
      <c r="K92" s="27"/>
      <c r="L92" s="27"/>
      <c r="M92" s="27"/>
      <c r="N92" s="27"/>
      <c r="O92" s="27"/>
      <c r="P92" s="27"/>
    </row>
    <row r="93" spans="1:16" ht="13.5" customHeight="1">
      <c r="A93" s="50" t="s">
        <v>31</v>
      </c>
      <c r="B93" s="50" t="s">
        <v>64</v>
      </c>
      <c r="C93" s="51">
        <v>45969</v>
      </c>
      <c r="D93" s="50" t="s">
        <v>45</v>
      </c>
      <c r="E93" s="50" t="s">
        <v>61</v>
      </c>
      <c r="F93" s="52">
        <v>244847</v>
      </c>
      <c r="G93" s="52">
        <v>244847</v>
      </c>
      <c r="H93" s="52">
        <f t="shared" si="32"/>
        <v>0</v>
      </c>
      <c r="I93" s="27"/>
      <c r="J93" s="27"/>
      <c r="K93" s="27"/>
      <c r="L93" s="27"/>
      <c r="M93" s="27"/>
      <c r="N93" s="27"/>
      <c r="O93" s="27"/>
      <c r="P93" s="27"/>
    </row>
    <row r="94" spans="1:16" ht="13.5" customHeight="1">
      <c r="A94" s="50" t="s">
        <v>31</v>
      </c>
      <c r="B94" s="50" t="s">
        <v>65</v>
      </c>
      <c r="C94" s="51">
        <v>45999</v>
      </c>
      <c r="D94" s="50" t="s">
        <v>45</v>
      </c>
      <c r="E94" s="50" t="s">
        <v>61</v>
      </c>
      <c r="F94" s="52">
        <v>244847</v>
      </c>
      <c r="G94" s="52">
        <v>244847</v>
      </c>
      <c r="H94" s="52">
        <f t="shared" si="32"/>
        <v>0</v>
      </c>
      <c r="I94" s="27"/>
      <c r="J94" s="27"/>
      <c r="K94" s="27"/>
      <c r="L94" s="27"/>
      <c r="M94" s="27"/>
      <c r="N94" s="27"/>
      <c r="O94" s="27"/>
      <c r="P94" s="27"/>
    </row>
    <row r="95" spans="1:16" ht="13.5" customHeight="1">
      <c r="A95" s="50" t="s">
        <v>31</v>
      </c>
      <c r="B95" s="50" t="s">
        <v>66</v>
      </c>
      <c r="C95" s="51">
        <v>46030</v>
      </c>
      <c r="D95" s="50" t="s">
        <v>45</v>
      </c>
      <c r="E95" s="50" t="s">
        <v>61</v>
      </c>
      <c r="F95" s="52">
        <v>244847</v>
      </c>
      <c r="G95" s="52">
        <v>244847</v>
      </c>
      <c r="H95" s="52">
        <f t="shared" si="32"/>
        <v>0</v>
      </c>
      <c r="I95" s="27"/>
      <c r="J95" s="27"/>
      <c r="K95" s="27"/>
      <c r="L95" s="27"/>
      <c r="M95" s="27"/>
      <c r="N95" s="27"/>
      <c r="O95" s="27"/>
      <c r="P95" s="27"/>
    </row>
    <row r="96" spans="1:16" ht="13.5" customHeight="1">
      <c r="A96" s="50" t="s">
        <v>31</v>
      </c>
      <c r="B96" s="50" t="s">
        <v>67</v>
      </c>
      <c r="C96" s="51">
        <v>46061</v>
      </c>
      <c r="D96" s="50" t="s">
        <v>45</v>
      </c>
      <c r="E96" s="50" t="s">
        <v>61</v>
      </c>
      <c r="F96" s="53">
        <v>244847</v>
      </c>
      <c r="G96" s="302">
        <v>244847</v>
      </c>
      <c r="H96" s="53">
        <f t="shared" si="32"/>
        <v>0</v>
      </c>
      <c r="I96" s="27"/>
      <c r="J96" s="27"/>
      <c r="K96" s="27"/>
      <c r="L96" s="27"/>
      <c r="M96" s="27"/>
      <c r="N96" s="27"/>
      <c r="O96" s="27"/>
      <c r="P96" s="27"/>
    </row>
    <row r="97" spans="1:16" ht="13.5" customHeight="1">
      <c r="A97" s="54"/>
      <c r="B97" s="54"/>
      <c r="C97" s="54"/>
      <c r="D97" s="54"/>
      <c r="E97" s="55"/>
      <c r="F97" s="56">
        <f>SUM(F90:F96)</f>
        <v>1713929</v>
      </c>
      <c r="G97" s="57">
        <f>SUM(G90:G96)</f>
        <v>1713929</v>
      </c>
      <c r="H97" s="57">
        <f>SUM(H90:H96)</f>
        <v>0</v>
      </c>
      <c r="I97" s="46"/>
      <c r="J97" s="27"/>
      <c r="K97" s="27"/>
      <c r="L97" s="27"/>
      <c r="M97" s="27"/>
      <c r="N97" s="27"/>
      <c r="O97" s="27"/>
      <c r="P97" s="27"/>
    </row>
    <row r="98" spans="1:16" ht="13.5" customHeight="1">
      <c r="A98" s="50" t="s">
        <v>31</v>
      </c>
      <c r="B98" s="50" t="s">
        <v>59</v>
      </c>
      <c r="C98" s="51">
        <v>45855</v>
      </c>
      <c r="D98" s="50" t="s">
        <v>47</v>
      </c>
      <c r="E98" s="50" t="s">
        <v>61</v>
      </c>
      <c r="F98" s="49">
        <v>602013.56000000006</v>
      </c>
      <c r="G98" s="49">
        <v>602013.56000000006</v>
      </c>
      <c r="H98" s="49">
        <f t="shared" ref="H98:H105" si="33">F98-G98</f>
        <v>0</v>
      </c>
      <c r="I98" s="27"/>
      <c r="J98" s="27"/>
      <c r="K98" s="27"/>
      <c r="L98" s="27"/>
      <c r="M98" s="27"/>
      <c r="N98" s="27"/>
      <c r="O98" s="27"/>
      <c r="P98" s="27"/>
    </row>
    <row r="99" spans="1:16" ht="13.5" customHeight="1">
      <c r="A99" s="50" t="s">
        <v>31</v>
      </c>
      <c r="B99" s="50" t="s">
        <v>62</v>
      </c>
      <c r="C99" s="51">
        <v>45881</v>
      </c>
      <c r="D99" s="50" t="s">
        <v>47</v>
      </c>
      <c r="E99" s="50" t="s">
        <v>61</v>
      </c>
      <c r="F99" s="52">
        <v>602013.56000000006</v>
      </c>
      <c r="G99" s="52">
        <v>602013.56000000006</v>
      </c>
      <c r="H99" s="52">
        <f t="shared" si="33"/>
        <v>0</v>
      </c>
      <c r="I99" s="27"/>
      <c r="J99" s="27"/>
      <c r="K99" s="27"/>
      <c r="L99" s="27"/>
      <c r="M99" s="27"/>
      <c r="N99" s="27"/>
      <c r="O99" s="27"/>
      <c r="P99" s="27"/>
    </row>
    <row r="100" spans="1:16" ht="13.5" customHeight="1">
      <c r="A100" s="50" t="s">
        <v>31</v>
      </c>
      <c r="B100" s="50" t="s">
        <v>63</v>
      </c>
      <c r="C100" s="51">
        <v>45912</v>
      </c>
      <c r="D100" s="50" t="s">
        <v>47</v>
      </c>
      <c r="E100" s="50" t="s">
        <v>61</v>
      </c>
      <c r="F100" s="52">
        <v>602013.56000000006</v>
      </c>
      <c r="G100" s="52">
        <v>602013.56000000006</v>
      </c>
      <c r="H100" s="52">
        <f t="shared" si="33"/>
        <v>0</v>
      </c>
      <c r="I100" s="27"/>
      <c r="J100" s="27"/>
      <c r="K100" s="27"/>
      <c r="L100" s="27"/>
      <c r="M100" s="27"/>
      <c r="N100" s="27"/>
      <c r="O100" s="27"/>
      <c r="P100" s="27"/>
    </row>
    <row r="101" spans="1:16" ht="13.5" customHeight="1">
      <c r="A101" s="50" t="s">
        <v>31</v>
      </c>
      <c r="B101" s="50" t="s">
        <v>64</v>
      </c>
      <c r="C101" s="51">
        <v>45943</v>
      </c>
      <c r="D101" s="50" t="s">
        <v>47</v>
      </c>
      <c r="E101" s="50" t="s">
        <v>61</v>
      </c>
      <c r="F101" s="52">
        <v>602013.56000000006</v>
      </c>
      <c r="G101" s="52">
        <v>602013.56000000006</v>
      </c>
      <c r="H101" s="52">
        <f t="shared" si="33"/>
        <v>0</v>
      </c>
      <c r="I101" s="27"/>
      <c r="J101" s="27"/>
      <c r="K101" s="27"/>
      <c r="L101" s="27"/>
      <c r="M101" s="27"/>
      <c r="N101" s="27"/>
      <c r="O101" s="27"/>
      <c r="P101" s="27"/>
    </row>
    <row r="102" spans="1:16" ht="13.5" customHeight="1">
      <c r="A102" s="50" t="s">
        <v>31</v>
      </c>
      <c r="B102" s="50" t="s">
        <v>65</v>
      </c>
      <c r="C102" s="51">
        <v>45973</v>
      </c>
      <c r="D102" s="50" t="s">
        <v>47</v>
      </c>
      <c r="E102" s="50" t="s">
        <v>61</v>
      </c>
      <c r="F102" s="52">
        <v>602013.56000000006</v>
      </c>
      <c r="G102" s="52">
        <v>602013.56000000006</v>
      </c>
      <c r="H102" s="52">
        <f t="shared" si="33"/>
        <v>0</v>
      </c>
      <c r="I102" s="27"/>
      <c r="J102" s="27"/>
      <c r="K102" s="27"/>
      <c r="L102" s="27"/>
      <c r="M102" s="27"/>
      <c r="N102" s="27"/>
      <c r="O102" s="27"/>
      <c r="P102" s="27"/>
    </row>
    <row r="103" spans="1:16" ht="13.5" customHeight="1">
      <c r="A103" s="50" t="s">
        <v>31</v>
      </c>
      <c r="B103" s="50" t="s">
        <v>66</v>
      </c>
      <c r="C103" s="51">
        <v>46008</v>
      </c>
      <c r="D103" s="50" t="s">
        <v>47</v>
      </c>
      <c r="E103" s="50" t="s">
        <v>61</v>
      </c>
      <c r="F103" s="52">
        <v>602013.56000000006</v>
      </c>
      <c r="G103" s="52">
        <v>602013.56000000006</v>
      </c>
      <c r="H103" s="52">
        <f t="shared" si="33"/>
        <v>0</v>
      </c>
      <c r="I103" s="27"/>
      <c r="J103" s="27"/>
      <c r="K103" s="27"/>
      <c r="L103" s="27"/>
      <c r="M103" s="27"/>
      <c r="N103" s="27"/>
      <c r="O103" s="27"/>
      <c r="P103" s="27"/>
    </row>
    <row r="104" spans="1:16" ht="13.5" customHeight="1">
      <c r="A104" s="50" t="s">
        <v>31</v>
      </c>
      <c r="B104" s="50" t="s">
        <v>67</v>
      </c>
      <c r="C104" s="51">
        <v>46034</v>
      </c>
      <c r="D104" s="50" t="s">
        <v>47</v>
      </c>
      <c r="E104" s="50" t="s">
        <v>61</v>
      </c>
      <c r="F104" s="52">
        <v>602013.56000000006</v>
      </c>
      <c r="G104" s="52">
        <v>602013.56000000006</v>
      </c>
      <c r="H104" s="52">
        <f t="shared" si="33"/>
        <v>0</v>
      </c>
      <c r="I104" s="27"/>
      <c r="J104" s="27"/>
      <c r="K104" s="27"/>
      <c r="L104" s="27"/>
      <c r="M104" s="27"/>
      <c r="N104" s="27"/>
      <c r="O104" s="27"/>
      <c r="P104" s="27"/>
    </row>
    <row r="105" spans="1:16" ht="13.5" customHeight="1">
      <c r="A105" s="50" t="s">
        <v>31</v>
      </c>
      <c r="B105" s="50" t="s">
        <v>68</v>
      </c>
      <c r="C105" s="51">
        <v>46065</v>
      </c>
      <c r="D105" s="50" t="s">
        <v>47</v>
      </c>
      <c r="E105" s="50" t="s">
        <v>61</v>
      </c>
      <c r="F105" s="53">
        <v>602013.56000000006</v>
      </c>
      <c r="G105" s="215">
        <v>602013.56000000006</v>
      </c>
      <c r="H105" s="53">
        <f t="shared" si="33"/>
        <v>0</v>
      </c>
      <c r="I105" s="27"/>
      <c r="J105" s="27"/>
      <c r="K105" s="27"/>
      <c r="L105" s="27"/>
      <c r="M105" s="27"/>
      <c r="N105" s="27"/>
      <c r="O105" s="27"/>
      <c r="P105" s="27"/>
    </row>
    <row r="106" spans="1:16" ht="13.5" customHeight="1">
      <c r="A106" s="54"/>
      <c r="B106" s="54"/>
      <c r="C106" s="54"/>
      <c r="D106" s="54"/>
      <c r="E106" s="55"/>
      <c r="F106" s="56">
        <f>SUM(F98:F105)</f>
        <v>4816108.4800000004</v>
      </c>
      <c r="G106" s="57">
        <f>SUM(G98:G105)</f>
        <v>4816108.4800000004</v>
      </c>
      <c r="H106" s="57">
        <f>SUM(H98:H105)</f>
        <v>0</v>
      </c>
      <c r="I106" s="46"/>
      <c r="J106" s="27"/>
      <c r="K106" s="27"/>
      <c r="L106" s="27"/>
      <c r="M106" s="27"/>
      <c r="N106" s="27"/>
      <c r="O106" s="27"/>
      <c r="P106" s="27"/>
    </row>
    <row r="107" spans="1:16" ht="13.5" customHeight="1">
      <c r="A107" s="50" t="s">
        <v>31</v>
      </c>
      <c r="B107" s="50" t="s">
        <v>59</v>
      </c>
      <c r="C107" s="51">
        <v>45834</v>
      </c>
      <c r="D107" s="50" t="s">
        <v>49</v>
      </c>
      <c r="E107" s="50" t="s">
        <v>79</v>
      </c>
      <c r="F107" s="49">
        <v>560578.48</v>
      </c>
      <c r="G107" s="49">
        <v>560578.48</v>
      </c>
      <c r="H107" s="49">
        <f t="shared" ref="H107:H113" si="34">F107-G107</f>
        <v>0</v>
      </c>
      <c r="I107" s="27"/>
      <c r="J107" s="27"/>
      <c r="K107" s="27"/>
      <c r="L107" s="27"/>
      <c r="M107" s="27"/>
      <c r="N107" s="27"/>
      <c r="O107" s="27"/>
      <c r="P107" s="27"/>
    </row>
    <row r="108" spans="1:16" ht="13.5" customHeight="1">
      <c r="A108" s="50" t="s">
        <v>31</v>
      </c>
      <c r="B108" s="50" t="s">
        <v>62</v>
      </c>
      <c r="C108" s="51">
        <v>45864</v>
      </c>
      <c r="D108" s="50" t="s">
        <v>49</v>
      </c>
      <c r="E108" s="50" t="s">
        <v>79</v>
      </c>
      <c r="F108" s="52">
        <v>560578.48</v>
      </c>
      <c r="G108" s="52">
        <v>560578.48</v>
      </c>
      <c r="H108" s="52">
        <f t="shared" si="34"/>
        <v>0</v>
      </c>
      <c r="I108" s="27"/>
      <c r="J108" s="27"/>
      <c r="K108" s="27"/>
      <c r="L108" s="27"/>
      <c r="M108" s="27"/>
      <c r="N108" s="27"/>
      <c r="O108" s="27"/>
      <c r="P108" s="27"/>
    </row>
    <row r="109" spans="1:16" ht="13.5" customHeight="1">
      <c r="A109" s="50" t="s">
        <v>31</v>
      </c>
      <c r="B109" s="50" t="s">
        <v>63</v>
      </c>
      <c r="C109" s="51">
        <v>45895</v>
      </c>
      <c r="D109" s="50" t="s">
        <v>49</v>
      </c>
      <c r="E109" s="50" t="s">
        <v>79</v>
      </c>
      <c r="F109" s="52">
        <v>560578.48</v>
      </c>
      <c r="G109" s="52">
        <v>560578.48</v>
      </c>
      <c r="H109" s="52">
        <f t="shared" si="34"/>
        <v>0</v>
      </c>
      <c r="I109" s="27"/>
      <c r="J109" s="27"/>
      <c r="K109" s="27"/>
      <c r="L109" s="27"/>
      <c r="M109" s="27"/>
      <c r="N109" s="27"/>
      <c r="O109" s="27"/>
      <c r="P109" s="27"/>
    </row>
    <row r="110" spans="1:16" ht="13.5" customHeight="1">
      <c r="A110" s="50" t="s">
        <v>31</v>
      </c>
      <c r="B110" s="50" t="s">
        <v>64</v>
      </c>
      <c r="C110" s="51">
        <v>45926</v>
      </c>
      <c r="D110" s="50" t="s">
        <v>49</v>
      </c>
      <c r="E110" s="50" t="s">
        <v>79</v>
      </c>
      <c r="F110" s="52">
        <v>560578.48</v>
      </c>
      <c r="G110" s="52">
        <v>560578.48</v>
      </c>
      <c r="H110" s="52">
        <f t="shared" si="34"/>
        <v>0</v>
      </c>
      <c r="I110" s="27"/>
      <c r="J110" s="27"/>
      <c r="K110" s="27"/>
      <c r="L110" s="27"/>
      <c r="M110" s="27"/>
      <c r="N110" s="27"/>
      <c r="O110" s="27"/>
      <c r="P110" s="27"/>
    </row>
    <row r="111" spans="1:16" ht="13.5" customHeight="1">
      <c r="A111" s="50" t="s">
        <v>31</v>
      </c>
      <c r="B111" s="50" t="s">
        <v>65</v>
      </c>
      <c r="C111" s="51">
        <v>45956</v>
      </c>
      <c r="D111" s="50" t="s">
        <v>49</v>
      </c>
      <c r="E111" s="50" t="s">
        <v>79</v>
      </c>
      <c r="F111" s="52">
        <v>560578.48</v>
      </c>
      <c r="G111" s="52">
        <v>560578.48</v>
      </c>
      <c r="H111" s="52">
        <f t="shared" si="34"/>
        <v>0</v>
      </c>
      <c r="I111" s="27"/>
      <c r="J111" s="27"/>
      <c r="K111" s="27"/>
      <c r="L111" s="27"/>
      <c r="M111" s="27"/>
      <c r="N111" s="27"/>
      <c r="O111" s="27"/>
      <c r="P111" s="27"/>
    </row>
    <row r="112" spans="1:16" ht="13.5" customHeight="1">
      <c r="A112" s="50" t="s">
        <v>31</v>
      </c>
      <c r="B112" s="50" t="s">
        <v>66</v>
      </c>
      <c r="C112" s="51">
        <v>45987</v>
      </c>
      <c r="D112" s="50" t="s">
        <v>49</v>
      </c>
      <c r="E112" s="50" t="s">
        <v>79</v>
      </c>
      <c r="F112" s="52">
        <v>560578.48</v>
      </c>
      <c r="G112" s="52">
        <v>560578.48</v>
      </c>
      <c r="H112" s="52">
        <f t="shared" si="34"/>
        <v>0</v>
      </c>
      <c r="I112" s="27"/>
      <c r="J112" s="27"/>
      <c r="K112" s="27"/>
      <c r="L112" s="27"/>
      <c r="M112" s="27"/>
      <c r="N112" s="27"/>
      <c r="O112" s="27"/>
      <c r="P112" s="27"/>
    </row>
    <row r="113" spans="1:16" ht="13.5" customHeight="1">
      <c r="A113" s="50" t="s">
        <v>31</v>
      </c>
      <c r="B113" s="50" t="s">
        <v>67</v>
      </c>
      <c r="C113" s="51">
        <v>46017</v>
      </c>
      <c r="D113" s="50" t="s">
        <v>49</v>
      </c>
      <c r="E113" s="50" t="s">
        <v>79</v>
      </c>
      <c r="F113" s="53">
        <v>560578.48</v>
      </c>
      <c r="G113" s="215">
        <v>560578.48</v>
      </c>
      <c r="H113" s="53">
        <f t="shared" si="34"/>
        <v>0</v>
      </c>
      <c r="I113" s="27"/>
      <c r="J113" s="27"/>
      <c r="K113" s="27"/>
      <c r="L113" s="27"/>
      <c r="M113" s="27"/>
      <c r="N113" s="27"/>
      <c r="O113" s="27"/>
      <c r="P113" s="27"/>
    </row>
    <row r="114" spans="1:16" ht="13.5" customHeight="1">
      <c r="A114" s="54"/>
      <c r="B114" s="54"/>
      <c r="C114" s="54"/>
      <c r="D114" s="54"/>
      <c r="E114" s="55"/>
      <c r="F114" s="56">
        <f>SUM(F107:F113)</f>
        <v>3924049.36</v>
      </c>
      <c r="G114" s="57">
        <f>SUM(G107:G113)</f>
        <v>3924049.36</v>
      </c>
      <c r="H114" s="57">
        <f>SUM(H107:H113)</f>
        <v>0</v>
      </c>
      <c r="I114" s="46"/>
      <c r="J114" s="27"/>
      <c r="K114" s="27"/>
      <c r="L114" s="27"/>
      <c r="M114" s="27"/>
      <c r="N114" s="27"/>
      <c r="O114" s="27"/>
      <c r="P114" s="27"/>
    </row>
    <row r="115" spans="1:16" ht="13.5" customHeight="1">
      <c r="A115" s="50" t="s">
        <v>31</v>
      </c>
      <c r="B115" s="50" t="s">
        <v>59</v>
      </c>
      <c r="C115" s="51">
        <v>45845</v>
      </c>
      <c r="D115" s="50" t="s">
        <v>50</v>
      </c>
      <c r="E115" s="50" t="s">
        <v>79</v>
      </c>
      <c r="F115" s="49">
        <v>469679.24</v>
      </c>
      <c r="G115" s="49">
        <v>469679.24</v>
      </c>
      <c r="H115" s="49">
        <f>F115-G115</f>
        <v>0</v>
      </c>
      <c r="I115" s="27"/>
      <c r="J115" s="27"/>
      <c r="K115" s="27"/>
      <c r="L115" s="27"/>
      <c r="M115" s="27"/>
      <c r="N115" s="27"/>
      <c r="O115" s="27"/>
      <c r="P115" s="27"/>
    </row>
    <row r="116" spans="1:16" ht="13.5" customHeight="1">
      <c r="A116" s="50" t="s">
        <v>31</v>
      </c>
      <c r="B116" s="50" t="s">
        <v>62</v>
      </c>
      <c r="C116" s="51">
        <v>45874</v>
      </c>
      <c r="D116" s="50" t="s">
        <v>50</v>
      </c>
      <c r="E116" s="50" t="s">
        <v>79</v>
      </c>
      <c r="F116" s="52">
        <v>469679.24</v>
      </c>
      <c r="G116" s="52">
        <v>469679.24</v>
      </c>
      <c r="H116" s="52">
        <f>F116-G116</f>
        <v>0</v>
      </c>
      <c r="I116" s="27"/>
      <c r="J116" s="27"/>
      <c r="K116" s="27"/>
      <c r="L116" s="27"/>
      <c r="M116" s="27"/>
      <c r="N116" s="27"/>
      <c r="O116" s="27"/>
      <c r="P116" s="27"/>
    </row>
    <row r="117" spans="1:16" ht="13.5" customHeight="1">
      <c r="A117" s="50" t="s">
        <v>31</v>
      </c>
      <c r="B117" s="50" t="s">
        <v>63</v>
      </c>
      <c r="C117" s="51">
        <v>45905</v>
      </c>
      <c r="D117" s="50" t="s">
        <v>50</v>
      </c>
      <c r="E117" s="50" t="s">
        <v>79</v>
      </c>
      <c r="F117" s="52">
        <v>469679.24</v>
      </c>
      <c r="G117" s="52">
        <v>469679.24</v>
      </c>
      <c r="H117" s="52">
        <f>F117-G117</f>
        <v>0</v>
      </c>
      <c r="I117" s="27"/>
      <c r="J117" s="27"/>
      <c r="K117" s="27"/>
      <c r="L117" s="27"/>
      <c r="M117" s="27"/>
      <c r="N117" s="27"/>
      <c r="O117" s="27"/>
      <c r="P117" s="27"/>
    </row>
    <row r="118" spans="1:16" ht="13.5" customHeight="1">
      <c r="A118" s="50" t="s">
        <v>31</v>
      </c>
      <c r="B118" s="50" t="s">
        <v>64</v>
      </c>
      <c r="C118" s="51">
        <v>45936</v>
      </c>
      <c r="D118" s="50" t="s">
        <v>50</v>
      </c>
      <c r="E118" s="50" t="s">
        <v>79</v>
      </c>
      <c r="F118" s="53">
        <v>469679.24</v>
      </c>
      <c r="G118" s="53">
        <v>469679.24</v>
      </c>
      <c r="H118" s="53">
        <f>F118-G118</f>
        <v>0</v>
      </c>
      <c r="I118" s="27"/>
      <c r="J118" s="27"/>
      <c r="K118" s="27"/>
      <c r="L118" s="27"/>
      <c r="M118" s="27"/>
      <c r="N118" s="27"/>
      <c r="O118" s="27"/>
      <c r="P118" s="27"/>
    </row>
    <row r="119" spans="1:16" ht="13.5" customHeight="1">
      <c r="A119" s="54"/>
      <c r="B119" s="54"/>
      <c r="C119" s="54"/>
      <c r="D119" s="54"/>
      <c r="E119" s="55"/>
      <c r="F119" s="56">
        <f>SUM(F115:F118)</f>
        <v>1878716.96</v>
      </c>
      <c r="G119" s="57">
        <f>SUM(G115:G118)</f>
        <v>1878716.96</v>
      </c>
      <c r="H119" s="57">
        <f>SUM(H115:H118)</f>
        <v>0</v>
      </c>
      <c r="I119" s="46"/>
      <c r="J119" s="27"/>
      <c r="K119" s="27"/>
      <c r="L119" s="27"/>
      <c r="M119" s="27"/>
      <c r="N119" s="27"/>
      <c r="O119" s="27"/>
      <c r="P119" s="27"/>
    </row>
    <row r="120" spans="1:16" ht="13.5" customHeight="1">
      <c r="A120" s="50" t="s">
        <v>80</v>
      </c>
      <c r="B120" s="50" t="s">
        <v>59</v>
      </c>
      <c r="C120" s="51">
        <v>45856</v>
      </c>
      <c r="D120" s="50" t="s">
        <v>81</v>
      </c>
      <c r="E120" s="54"/>
      <c r="F120" s="49">
        <v>102500</v>
      </c>
      <c r="G120" s="49">
        <v>102500</v>
      </c>
      <c r="H120" s="49">
        <f t="shared" ref="H120:H145" si="35">F120-G120</f>
        <v>0</v>
      </c>
      <c r="I120" s="27"/>
      <c r="J120" s="27"/>
      <c r="K120" s="27"/>
      <c r="L120" s="27"/>
      <c r="M120" s="27"/>
      <c r="N120" s="27"/>
      <c r="O120" s="27"/>
      <c r="P120" s="27"/>
    </row>
    <row r="121" spans="1:16" ht="13.5" customHeight="1">
      <c r="A121" s="50" t="s">
        <v>80</v>
      </c>
      <c r="B121" s="50" t="s">
        <v>62</v>
      </c>
      <c r="C121" s="51">
        <v>45887</v>
      </c>
      <c r="D121" s="50" t="s">
        <v>81</v>
      </c>
      <c r="E121" s="54"/>
      <c r="F121" s="52">
        <v>102500</v>
      </c>
      <c r="G121" s="52">
        <v>102500</v>
      </c>
      <c r="H121" s="52">
        <f t="shared" si="35"/>
        <v>0</v>
      </c>
      <c r="I121" s="27"/>
      <c r="J121" s="27"/>
      <c r="K121" s="27"/>
      <c r="L121" s="27"/>
      <c r="M121" s="27"/>
      <c r="N121" s="27"/>
      <c r="O121" s="27"/>
      <c r="P121" s="27"/>
    </row>
    <row r="122" spans="1:16" ht="13.5" customHeight="1">
      <c r="A122" s="50" t="s">
        <v>80</v>
      </c>
      <c r="B122" s="50" t="s">
        <v>59</v>
      </c>
      <c r="C122" s="51">
        <v>45839</v>
      </c>
      <c r="D122" s="50" t="s">
        <v>82</v>
      </c>
      <c r="E122" s="54"/>
      <c r="F122" s="52">
        <v>106000</v>
      </c>
      <c r="G122" s="52">
        <v>106000</v>
      </c>
      <c r="H122" s="52">
        <f t="shared" si="35"/>
        <v>0</v>
      </c>
      <c r="I122" s="27"/>
      <c r="J122" s="27"/>
      <c r="K122" s="27"/>
      <c r="L122" s="27"/>
      <c r="M122" s="27"/>
      <c r="N122" s="27"/>
      <c r="O122" s="27"/>
      <c r="P122" s="27"/>
    </row>
    <row r="123" spans="1:16" ht="13.5" customHeight="1">
      <c r="A123" s="50" t="s">
        <v>80</v>
      </c>
      <c r="B123" s="50" t="s">
        <v>62</v>
      </c>
      <c r="C123" s="51">
        <v>45874</v>
      </c>
      <c r="D123" s="50" t="s">
        <v>82</v>
      </c>
      <c r="E123" s="54"/>
      <c r="F123" s="52">
        <v>106000</v>
      </c>
      <c r="G123" s="52">
        <v>106000</v>
      </c>
      <c r="H123" s="52">
        <f t="shared" si="35"/>
        <v>0</v>
      </c>
      <c r="I123" s="27"/>
      <c r="J123" s="27"/>
      <c r="K123" s="27"/>
      <c r="L123" s="27"/>
      <c r="M123" s="27"/>
      <c r="N123" s="27"/>
      <c r="O123" s="27"/>
      <c r="P123" s="27"/>
    </row>
    <row r="124" spans="1:16" ht="13.5" customHeight="1">
      <c r="A124" s="50" t="s">
        <v>80</v>
      </c>
      <c r="B124" s="50" t="s">
        <v>59</v>
      </c>
      <c r="C124" s="51">
        <v>45848</v>
      </c>
      <c r="D124" s="50" t="s">
        <v>83</v>
      </c>
      <c r="E124" s="54"/>
      <c r="F124" s="52">
        <v>37150</v>
      </c>
      <c r="G124" s="52">
        <v>37150</v>
      </c>
      <c r="H124" s="52">
        <f t="shared" si="35"/>
        <v>0</v>
      </c>
      <c r="I124" s="27"/>
      <c r="J124" s="27"/>
      <c r="K124" s="27"/>
      <c r="L124" s="27"/>
      <c r="M124" s="27"/>
      <c r="N124" s="27"/>
      <c r="O124" s="27"/>
      <c r="P124" s="27"/>
    </row>
    <row r="125" spans="1:16" ht="13.5" customHeight="1">
      <c r="A125" s="50" t="s">
        <v>80</v>
      </c>
      <c r="B125" s="50" t="s">
        <v>62</v>
      </c>
      <c r="C125" s="51">
        <v>45877</v>
      </c>
      <c r="D125" s="50" t="s">
        <v>83</v>
      </c>
      <c r="E125" s="54"/>
      <c r="F125" s="52">
        <v>37150</v>
      </c>
      <c r="G125" s="52">
        <v>37150</v>
      </c>
      <c r="H125" s="52">
        <f t="shared" si="35"/>
        <v>0</v>
      </c>
      <c r="I125" s="27"/>
      <c r="J125" s="27"/>
      <c r="K125" s="27"/>
      <c r="L125" s="27"/>
      <c r="M125" s="27"/>
      <c r="N125" s="27"/>
      <c r="O125" s="27"/>
      <c r="P125" s="27"/>
    </row>
    <row r="126" spans="1:16" ht="13.5" customHeight="1">
      <c r="A126" s="50" t="s">
        <v>80</v>
      </c>
      <c r="B126" s="50" t="s">
        <v>63</v>
      </c>
      <c r="C126" s="51">
        <v>45877</v>
      </c>
      <c r="D126" s="50" t="s">
        <v>83</v>
      </c>
      <c r="E126" s="54"/>
      <c r="F126" s="52">
        <v>37150</v>
      </c>
      <c r="G126" s="52">
        <v>37150</v>
      </c>
      <c r="H126" s="52">
        <f t="shared" si="35"/>
        <v>0</v>
      </c>
      <c r="I126" s="27"/>
      <c r="J126" s="27"/>
      <c r="K126" s="27"/>
      <c r="L126" s="27"/>
      <c r="M126" s="27"/>
      <c r="N126" s="27"/>
      <c r="O126" s="27"/>
      <c r="P126" s="27"/>
    </row>
    <row r="127" spans="1:16" ht="13.5" customHeight="1">
      <c r="A127" s="50" t="s">
        <v>80</v>
      </c>
      <c r="B127" s="50" t="s">
        <v>59</v>
      </c>
      <c r="C127" s="51">
        <v>45835</v>
      </c>
      <c r="D127" s="50" t="s">
        <v>84</v>
      </c>
      <c r="E127" s="54"/>
      <c r="F127" s="52">
        <v>81000</v>
      </c>
      <c r="G127" s="52">
        <v>81000</v>
      </c>
      <c r="H127" s="52">
        <f t="shared" si="35"/>
        <v>0</v>
      </c>
      <c r="I127" s="27"/>
      <c r="J127" s="27"/>
      <c r="K127" s="27"/>
      <c r="L127" s="27"/>
      <c r="M127" s="27"/>
      <c r="N127" s="27"/>
      <c r="O127" s="27"/>
      <c r="P127" s="27"/>
    </row>
    <row r="128" spans="1:16" ht="13.5" customHeight="1">
      <c r="A128" s="50" t="s">
        <v>80</v>
      </c>
      <c r="B128" s="50" t="s">
        <v>62</v>
      </c>
      <c r="C128" s="51">
        <v>45863</v>
      </c>
      <c r="D128" s="50" t="s">
        <v>84</v>
      </c>
      <c r="E128" s="54"/>
      <c r="F128" s="52">
        <v>81000</v>
      </c>
      <c r="G128" s="52">
        <v>81000</v>
      </c>
      <c r="H128" s="52">
        <f t="shared" si="35"/>
        <v>0</v>
      </c>
      <c r="I128" s="27"/>
      <c r="J128" s="27"/>
      <c r="K128" s="27"/>
      <c r="L128" s="27"/>
      <c r="M128" s="27"/>
      <c r="N128" s="27"/>
      <c r="O128" s="27"/>
      <c r="P128" s="27"/>
    </row>
    <row r="129" spans="1:16" ht="13.5" customHeight="1">
      <c r="A129" s="50" t="s">
        <v>80</v>
      </c>
      <c r="B129" s="50" t="s">
        <v>63</v>
      </c>
      <c r="C129" s="51">
        <v>45896</v>
      </c>
      <c r="D129" s="50" t="s">
        <v>84</v>
      </c>
      <c r="E129" s="54"/>
      <c r="F129" s="52">
        <v>81000</v>
      </c>
      <c r="G129" s="52">
        <v>81000</v>
      </c>
      <c r="H129" s="52">
        <f t="shared" si="35"/>
        <v>0</v>
      </c>
      <c r="I129" s="27"/>
      <c r="J129" s="27"/>
      <c r="K129" s="27"/>
      <c r="L129" s="27"/>
      <c r="M129" s="27"/>
      <c r="N129" s="27"/>
      <c r="O129" s="27"/>
      <c r="P129" s="27"/>
    </row>
    <row r="130" spans="1:16" ht="13.5" customHeight="1">
      <c r="A130" s="50" t="s">
        <v>85</v>
      </c>
      <c r="B130" s="50" t="s">
        <v>59</v>
      </c>
      <c r="C130" s="51">
        <v>45858</v>
      </c>
      <c r="D130" s="50" t="s">
        <v>86</v>
      </c>
      <c r="E130" s="54"/>
      <c r="F130" s="52">
        <v>109457.14</v>
      </c>
      <c r="G130" s="52">
        <v>109457.14</v>
      </c>
      <c r="H130" s="52">
        <f t="shared" si="35"/>
        <v>0</v>
      </c>
      <c r="I130" s="27"/>
      <c r="J130" s="27"/>
      <c r="K130" s="27"/>
      <c r="L130" s="27"/>
      <c r="M130" s="27"/>
      <c r="N130" s="27"/>
      <c r="O130" s="27"/>
      <c r="P130" s="27"/>
    </row>
    <row r="131" spans="1:16" ht="13.5" customHeight="1">
      <c r="A131" s="50" t="s">
        <v>85</v>
      </c>
      <c r="B131" s="50" t="s">
        <v>62</v>
      </c>
      <c r="C131" s="51">
        <v>45889</v>
      </c>
      <c r="D131" s="50" t="s">
        <v>86</v>
      </c>
      <c r="E131" s="54"/>
      <c r="F131" s="52">
        <v>109457.14</v>
      </c>
      <c r="G131" s="52">
        <v>109457.14</v>
      </c>
      <c r="H131" s="52">
        <f t="shared" si="35"/>
        <v>0</v>
      </c>
      <c r="I131" s="27"/>
      <c r="J131" s="27"/>
      <c r="K131" s="27"/>
      <c r="L131" s="27"/>
      <c r="M131" s="27"/>
      <c r="N131" s="27"/>
      <c r="O131" s="27"/>
      <c r="P131" s="27"/>
    </row>
    <row r="132" spans="1:16" ht="13.5" customHeight="1">
      <c r="A132" s="50" t="s">
        <v>85</v>
      </c>
      <c r="B132" s="50" t="s">
        <v>63</v>
      </c>
      <c r="C132" s="51">
        <v>45920</v>
      </c>
      <c r="D132" s="50" t="s">
        <v>86</v>
      </c>
      <c r="E132" s="54"/>
      <c r="F132" s="52">
        <v>109457.14</v>
      </c>
      <c r="G132" s="52">
        <v>109457.14</v>
      </c>
      <c r="H132" s="52">
        <f t="shared" si="35"/>
        <v>0</v>
      </c>
      <c r="I132" s="27"/>
      <c r="J132" s="27"/>
      <c r="K132" s="27"/>
      <c r="L132" s="27"/>
      <c r="M132" s="27"/>
      <c r="N132" s="27"/>
      <c r="O132" s="27"/>
      <c r="P132" s="27"/>
    </row>
    <row r="133" spans="1:16" ht="13.5" customHeight="1">
      <c r="A133" s="50" t="s">
        <v>85</v>
      </c>
      <c r="B133" s="50" t="s">
        <v>64</v>
      </c>
      <c r="C133" s="51">
        <v>45950</v>
      </c>
      <c r="D133" s="50" t="s">
        <v>86</v>
      </c>
      <c r="E133" s="54"/>
      <c r="F133" s="52">
        <v>109457.14</v>
      </c>
      <c r="G133" s="52">
        <v>109457.14</v>
      </c>
      <c r="H133" s="52">
        <f t="shared" si="35"/>
        <v>0</v>
      </c>
      <c r="I133" s="27"/>
      <c r="J133" s="27"/>
      <c r="K133" s="27"/>
      <c r="L133" s="27"/>
      <c r="M133" s="27"/>
      <c r="N133" s="27"/>
      <c r="O133" s="27"/>
      <c r="P133" s="27"/>
    </row>
    <row r="134" spans="1:16" ht="13.5" customHeight="1">
      <c r="A134" s="50" t="s">
        <v>87</v>
      </c>
      <c r="B134" s="50" t="s">
        <v>59</v>
      </c>
      <c r="C134" s="51">
        <v>45848</v>
      </c>
      <c r="D134" s="50" t="s">
        <v>88</v>
      </c>
      <c r="E134" s="54"/>
      <c r="F134" s="52">
        <v>226944.26</v>
      </c>
      <c r="G134" s="52">
        <v>226944.26</v>
      </c>
      <c r="H134" s="52">
        <f t="shared" si="35"/>
        <v>0</v>
      </c>
      <c r="I134" s="27"/>
      <c r="J134" s="27"/>
      <c r="K134" s="27"/>
      <c r="L134" s="27"/>
      <c r="M134" s="27"/>
      <c r="N134" s="27"/>
      <c r="O134" s="27"/>
      <c r="P134" s="27"/>
    </row>
    <row r="135" spans="1:16" ht="13.5" customHeight="1">
      <c r="A135" s="50" t="s">
        <v>87</v>
      </c>
      <c r="B135" s="50" t="s">
        <v>62</v>
      </c>
      <c r="C135" s="51">
        <v>45879</v>
      </c>
      <c r="D135" s="50" t="s">
        <v>88</v>
      </c>
      <c r="E135" s="54"/>
      <c r="F135" s="52">
        <v>226944.26</v>
      </c>
      <c r="G135" s="52">
        <v>226944.26</v>
      </c>
      <c r="H135" s="52">
        <f t="shared" si="35"/>
        <v>0</v>
      </c>
      <c r="I135" s="27"/>
      <c r="J135" s="27"/>
      <c r="K135" s="27"/>
      <c r="L135" s="27"/>
      <c r="M135" s="27"/>
      <c r="N135" s="27"/>
      <c r="O135" s="27"/>
      <c r="P135" s="27"/>
    </row>
    <row r="136" spans="1:16" ht="13.5" customHeight="1">
      <c r="A136" s="50" t="s">
        <v>87</v>
      </c>
      <c r="B136" s="50" t="s">
        <v>63</v>
      </c>
      <c r="C136" s="51">
        <v>45910</v>
      </c>
      <c r="D136" s="50" t="s">
        <v>88</v>
      </c>
      <c r="E136" s="54"/>
      <c r="F136" s="52">
        <v>226944.26</v>
      </c>
      <c r="G136" s="52">
        <v>226944.26</v>
      </c>
      <c r="H136" s="52">
        <f t="shared" si="35"/>
        <v>0</v>
      </c>
      <c r="I136" s="27"/>
      <c r="J136" s="27"/>
      <c r="K136" s="27"/>
      <c r="L136" s="27"/>
      <c r="M136" s="27"/>
      <c r="N136" s="27"/>
      <c r="O136" s="27"/>
      <c r="P136" s="27"/>
    </row>
    <row r="137" spans="1:16" ht="13.5" customHeight="1">
      <c r="A137" s="50" t="s">
        <v>89</v>
      </c>
      <c r="B137" s="50" t="s">
        <v>59</v>
      </c>
      <c r="C137" s="51">
        <v>45852</v>
      </c>
      <c r="D137" s="50" t="s">
        <v>90</v>
      </c>
      <c r="E137" s="54"/>
      <c r="F137" s="52">
        <v>35463.78</v>
      </c>
      <c r="G137" s="52">
        <v>35463.78</v>
      </c>
      <c r="H137" s="52">
        <f t="shared" si="35"/>
        <v>0</v>
      </c>
      <c r="I137" s="27"/>
      <c r="J137" s="27"/>
      <c r="K137" s="27"/>
      <c r="L137" s="27"/>
      <c r="M137" s="27"/>
      <c r="N137" s="27"/>
      <c r="O137" s="27"/>
      <c r="P137" s="27"/>
    </row>
    <row r="138" spans="1:16" ht="13.5" customHeight="1">
      <c r="A138" s="50" t="s">
        <v>89</v>
      </c>
      <c r="B138" s="50" t="s">
        <v>62</v>
      </c>
      <c r="C138" s="51">
        <v>45883</v>
      </c>
      <c r="D138" s="50" t="s">
        <v>90</v>
      </c>
      <c r="E138" s="54"/>
      <c r="F138" s="52">
        <v>35463.78</v>
      </c>
      <c r="G138" s="52">
        <v>35463.78</v>
      </c>
      <c r="H138" s="52">
        <f t="shared" si="35"/>
        <v>0</v>
      </c>
      <c r="I138" s="27"/>
      <c r="J138" s="27"/>
      <c r="K138" s="27"/>
      <c r="L138" s="27"/>
      <c r="M138" s="27"/>
      <c r="N138" s="27"/>
      <c r="O138" s="27"/>
      <c r="P138" s="27"/>
    </row>
    <row r="139" spans="1:16" ht="13.5" customHeight="1">
      <c r="A139" s="50" t="s">
        <v>89</v>
      </c>
      <c r="B139" s="50" t="s">
        <v>63</v>
      </c>
      <c r="C139" s="51">
        <v>45914</v>
      </c>
      <c r="D139" s="50" t="s">
        <v>90</v>
      </c>
      <c r="E139" s="54"/>
      <c r="F139" s="52">
        <v>35463.78</v>
      </c>
      <c r="G139" s="52">
        <v>35463.78</v>
      </c>
      <c r="H139" s="52">
        <f t="shared" si="35"/>
        <v>0</v>
      </c>
      <c r="I139" s="27"/>
      <c r="J139" s="27"/>
      <c r="K139" s="27"/>
      <c r="L139" s="27"/>
      <c r="M139" s="27"/>
      <c r="N139" s="27"/>
      <c r="O139" s="27"/>
      <c r="P139" s="27"/>
    </row>
    <row r="140" spans="1:16" ht="13.5" customHeight="1">
      <c r="A140" s="50" t="s">
        <v>89</v>
      </c>
      <c r="B140" s="50" t="s">
        <v>64</v>
      </c>
      <c r="C140" s="51">
        <v>45944</v>
      </c>
      <c r="D140" s="50" t="s">
        <v>90</v>
      </c>
      <c r="E140" s="54"/>
      <c r="F140" s="52">
        <v>35463.78</v>
      </c>
      <c r="G140" s="52">
        <v>35463.78</v>
      </c>
      <c r="H140" s="52">
        <f t="shared" si="35"/>
        <v>0</v>
      </c>
      <c r="I140" s="27"/>
      <c r="J140" s="27"/>
      <c r="K140" s="27"/>
      <c r="L140" s="27"/>
      <c r="M140" s="27"/>
      <c r="N140" s="27"/>
      <c r="O140" s="27"/>
      <c r="P140" s="27"/>
    </row>
    <row r="141" spans="1:16" ht="13.5" customHeight="1">
      <c r="A141" s="50" t="s">
        <v>89</v>
      </c>
      <c r="B141" s="50" t="s">
        <v>65</v>
      </c>
      <c r="C141" s="51">
        <v>45975</v>
      </c>
      <c r="D141" s="50" t="s">
        <v>90</v>
      </c>
      <c r="E141" s="54"/>
      <c r="F141" s="52">
        <v>35463.78</v>
      </c>
      <c r="G141" s="52">
        <v>35463.78</v>
      </c>
      <c r="H141" s="52">
        <f t="shared" si="35"/>
        <v>0</v>
      </c>
      <c r="I141" s="27"/>
      <c r="J141" s="27"/>
      <c r="K141" s="27"/>
      <c r="L141" s="27"/>
      <c r="M141" s="27"/>
      <c r="N141" s="27"/>
      <c r="O141" s="27"/>
      <c r="P141" s="27"/>
    </row>
    <row r="142" spans="1:16" ht="13.5" customHeight="1">
      <c r="A142" s="50" t="s">
        <v>89</v>
      </c>
      <c r="B142" s="50" t="s">
        <v>66</v>
      </c>
      <c r="C142" s="51">
        <v>46005</v>
      </c>
      <c r="D142" s="50" t="s">
        <v>90</v>
      </c>
      <c r="E142" s="54"/>
      <c r="F142" s="52">
        <v>35463.78</v>
      </c>
      <c r="G142" s="208">
        <v>35463.78</v>
      </c>
      <c r="H142" s="52">
        <f t="shared" si="35"/>
        <v>0</v>
      </c>
      <c r="I142" s="27"/>
      <c r="J142" s="27"/>
      <c r="K142" s="27"/>
      <c r="L142" s="27"/>
      <c r="M142" s="27"/>
      <c r="N142" s="27"/>
      <c r="O142" s="27"/>
      <c r="P142" s="27"/>
    </row>
    <row r="143" spans="1:16" ht="13.5" customHeight="1">
      <c r="A143" s="50" t="s">
        <v>89</v>
      </c>
      <c r="B143" s="50" t="s">
        <v>67</v>
      </c>
      <c r="C143" s="51">
        <v>46036</v>
      </c>
      <c r="D143" s="50" t="s">
        <v>90</v>
      </c>
      <c r="E143" s="54"/>
      <c r="F143" s="52">
        <v>35463.78</v>
      </c>
      <c r="G143" s="52">
        <v>35463.78</v>
      </c>
      <c r="H143" s="52">
        <f t="shared" si="35"/>
        <v>0</v>
      </c>
      <c r="I143" s="27"/>
      <c r="J143" s="27"/>
      <c r="K143" s="27"/>
      <c r="L143" s="27"/>
      <c r="M143" s="27"/>
      <c r="N143" s="27"/>
      <c r="O143" s="27"/>
      <c r="P143" s="27"/>
    </row>
    <row r="144" spans="1:16" ht="14.75" customHeight="1">
      <c r="A144" s="50" t="s">
        <v>89</v>
      </c>
      <c r="B144" s="50" t="s">
        <v>68</v>
      </c>
      <c r="C144" s="51">
        <v>46067</v>
      </c>
      <c r="D144" s="50" t="s">
        <v>90</v>
      </c>
      <c r="E144" s="54"/>
      <c r="F144" s="52">
        <v>35463.78</v>
      </c>
      <c r="G144" s="208">
        <v>35463.78</v>
      </c>
      <c r="H144" s="52">
        <f t="shared" si="35"/>
        <v>0</v>
      </c>
      <c r="I144" s="27"/>
      <c r="J144" s="27"/>
      <c r="K144" s="27"/>
      <c r="L144" s="27"/>
      <c r="M144" s="27"/>
      <c r="N144" s="27"/>
      <c r="O144" s="27"/>
      <c r="P144" s="27"/>
    </row>
    <row r="145" spans="1:16" ht="13.5" customHeight="1">
      <c r="A145" s="50" t="s">
        <v>89</v>
      </c>
      <c r="B145" s="50" t="s">
        <v>69</v>
      </c>
      <c r="C145" s="51">
        <v>46095</v>
      </c>
      <c r="D145" s="50" t="s">
        <v>90</v>
      </c>
      <c r="E145" s="54"/>
      <c r="F145" s="53">
        <v>35463.78</v>
      </c>
      <c r="G145" s="42">
        <v>35463.78</v>
      </c>
      <c r="H145" s="53">
        <f t="shared" si="35"/>
        <v>0</v>
      </c>
      <c r="I145" s="27"/>
      <c r="J145" s="27"/>
      <c r="K145" s="27"/>
      <c r="L145" s="27"/>
      <c r="M145" s="27"/>
      <c r="N145" s="27"/>
      <c r="O145" s="27"/>
      <c r="P145" s="27"/>
    </row>
    <row r="146" spans="1:16" ht="13.5" customHeight="1">
      <c r="A146" s="54"/>
      <c r="B146" s="54"/>
      <c r="C146" s="54"/>
      <c r="D146" s="54"/>
      <c r="E146" s="55"/>
      <c r="F146" s="56">
        <f>SUM(F120:F145)</f>
        <v>2209285.3599999994</v>
      </c>
      <c r="G146" s="57">
        <f>SUM(G120:G145)</f>
        <v>2209285.3599999994</v>
      </c>
      <c r="H146" s="57">
        <f>SUM(H120:H145)</f>
        <v>0</v>
      </c>
      <c r="I146" s="46"/>
      <c r="J146" s="27"/>
      <c r="K146" s="27"/>
      <c r="L146" s="27"/>
      <c r="M146" s="27"/>
      <c r="N146" s="27"/>
      <c r="O146" s="27"/>
      <c r="P146" s="27"/>
    </row>
    <row r="147" spans="1:16" ht="39" customHeight="1">
      <c r="A147" s="59"/>
      <c r="B147" s="59"/>
      <c r="C147" s="59"/>
      <c r="D147" s="59"/>
      <c r="E147" s="60" t="s">
        <v>91</v>
      </c>
      <c r="F147" s="61">
        <f>F30+F33+F42+F49+F59+F69+F79+F89+F97+F106+F114+F119+F146</f>
        <v>30280330.290000003</v>
      </c>
      <c r="G147" s="61">
        <f>G30+G33+G42+G49+G59+G69+G79+G89+G97+G106+G114+G119+G146</f>
        <v>30280330.300000001</v>
      </c>
      <c r="H147" s="61">
        <f>H30+H33+H42+H49+H59+H69+H79+H89+H97+H106+H114+H119+H146</f>
        <v>1.9999999989522621E-2</v>
      </c>
      <c r="I147" s="27"/>
      <c r="J147" s="27"/>
      <c r="K147" s="27"/>
      <c r="L147" s="27"/>
      <c r="M147" s="27"/>
      <c r="N147" s="27"/>
      <c r="O147" s="27"/>
      <c r="P147" s="27"/>
    </row>
    <row r="148" spans="1:16" ht="15" customHeight="1">
      <c r="J148" s="27"/>
      <c r="K148" s="27"/>
      <c r="L148" s="27"/>
      <c r="M148" s="27"/>
      <c r="N148" s="27"/>
      <c r="O148" s="27"/>
    </row>
    <row r="149" spans="1:16" ht="15" customHeight="1">
      <c r="J149" s="27"/>
      <c r="K149" s="27"/>
      <c r="L149" s="27"/>
      <c r="M149" s="27"/>
      <c r="N149" s="58"/>
      <c r="O149" s="27"/>
    </row>
    <row r="150" spans="1:16" ht="15" customHeight="1">
      <c r="J150" s="27"/>
      <c r="K150" s="27"/>
      <c r="L150" s="27"/>
      <c r="M150" s="27"/>
      <c r="N150" s="27"/>
    </row>
    <row r="151" spans="1:16" ht="15" customHeight="1">
      <c r="J151" s="27"/>
      <c r="K151" s="27"/>
      <c r="L151" s="27"/>
      <c r="M151" s="27"/>
      <c r="N151" s="27"/>
    </row>
    <row r="152" spans="1:16" ht="15" customHeight="1">
      <c r="J152" s="27"/>
      <c r="K152" s="27"/>
      <c r="L152" s="27"/>
      <c r="M152" s="27"/>
      <c r="N152" s="21"/>
    </row>
  </sheetData>
  <autoFilter ref="A20:H147" xr:uid="{00000000-0001-0000-0200-000000000000}"/>
  <phoneticPr fontId="14" type="noConversion"/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D557-6297-445A-B4C6-73935949592F}">
  <dimension ref="A1:P97"/>
  <sheetViews>
    <sheetView showGridLines="0" topLeftCell="A46" workbookViewId="0">
      <selection activeCell="G68" sqref="G68"/>
    </sheetView>
  </sheetViews>
  <sheetFormatPr baseColWidth="10" defaultColWidth="8.6640625" defaultRowHeight="15" customHeight="1"/>
  <cols>
    <col min="1" max="1" width="13.33203125" style="1" customWidth="1"/>
    <col min="2" max="2" width="13.6640625" style="1" customWidth="1"/>
    <col min="3" max="5" width="14.1640625" style="1" customWidth="1"/>
    <col min="6" max="6" width="21.33203125" style="1" customWidth="1"/>
    <col min="7" max="7" width="20.6640625" style="1" bestFit="1" customWidth="1"/>
    <col min="8" max="8" width="21.33203125" style="1" customWidth="1"/>
    <col min="9" max="9" width="6.6640625" style="1" customWidth="1"/>
    <col min="10" max="10" width="5" style="1" bestFit="1" customWidth="1"/>
    <col min="11" max="11" width="16.6640625" style="1" customWidth="1"/>
    <col min="12" max="12" width="15.1640625" style="1" bestFit="1" customWidth="1"/>
    <col min="13" max="14" width="17.6640625" style="1" customWidth="1"/>
    <col min="15" max="15" width="13.33203125" style="1" customWidth="1"/>
    <col min="16" max="16" width="14.6640625" style="1" customWidth="1"/>
    <col min="17" max="17" width="8.6640625" style="1" customWidth="1"/>
    <col min="18" max="16384" width="8.6640625" style="1"/>
  </cols>
  <sheetData>
    <row r="1" spans="1:16" ht="13.5" customHeight="1">
      <c r="A1" s="26"/>
      <c r="B1" s="26"/>
      <c r="C1" s="26"/>
      <c r="D1" s="26"/>
      <c r="E1" s="26"/>
      <c r="F1" s="26"/>
      <c r="G1" s="26"/>
      <c r="H1" s="26"/>
      <c r="I1" s="27"/>
      <c r="J1" s="27"/>
      <c r="K1" s="26"/>
      <c r="L1" s="28"/>
      <c r="M1" s="28"/>
      <c r="N1" s="28"/>
      <c r="O1" s="27"/>
      <c r="P1" s="27"/>
    </row>
    <row r="2" spans="1:16" ht="15.75" customHeight="1">
      <c r="A2" s="23" t="s">
        <v>15</v>
      </c>
      <c r="B2" s="23" t="s">
        <v>24</v>
      </c>
      <c r="C2" s="23" t="s">
        <v>25</v>
      </c>
      <c r="D2" s="23" t="s">
        <v>26</v>
      </c>
      <c r="E2" s="23" t="s">
        <v>27</v>
      </c>
      <c r="F2" s="23" t="s">
        <v>28</v>
      </c>
      <c r="G2" s="23" t="s">
        <v>29</v>
      </c>
      <c r="H2" s="23" t="s">
        <v>23</v>
      </c>
      <c r="I2" s="29"/>
      <c r="J2" s="30"/>
      <c r="K2" s="23" t="s">
        <v>30</v>
      </c>
      <c r="L2" s="175" t="s">
        <v>28</v>
      </c>
      <c r="M2" s="175" t="s">
        <v>29</v>
      </c>
      <c r="N2" s="175" t="s">
        <v>58</v>
      </c>
      <c r="O2" s="29"/>
      <c r="P2" s="27"/>
    </row>
    <row r="3" spans="1:16" ht="13.5" customHeight="1">
      <c r="A3" s="37" t="s">
        <v>31</v>
      </c>
      <c r="B3" s="32">
        <v>45931</v>
      </c>
      <c r="C3" s="170" t="str">
        <f>D21</f>
        <v>Nakit İhtiyacı</v>
      </c>
      <c r="D3" s="33"/>
      <c r="E3" s="170"/>
      <c r="F3" s="34">
        <f>F30</f>
        <v>2970000</v>
      </c>
      <c r="G3" s="34">
        <f>G30</f>
        <v>330000</v>
      </c>
      <c r="H3" s="34">
        <f>H30</f>
        <v>2640000</v>
      </c>
      <c r="I3" s="27"/>
      <c r="J3" s="35">
        <v>2025</v>
      </c>
      <c r="K3" s="170" t="s">
        <v>11</v>
      </c>
      <c r="L3" s="36">
        <f>F61</f>
        <v>266081.7</v>
      </c>
      <c r="M3" s="36">
        <f t="shared" ref="M3:N3" si="0">G61</f>
        <v>266081.7</v>
      </c>
      <c r="N3" s="36">
        <f t="shared" si="0"/>
        <v>0</v>
      </c>
      <c r="O3" s="27"/>
      <c r="P3" s="27"/>
    </row>
    <row r="4" spans="1:16" ht="13.5" customHeight="1">
      <c r="A4" s="37" t="s">
        <v>31</v>
      </c>
      <c r="B4" s="32">
        <v>45931</v>
      </c>
      <c r="C4" s="37" t="str">
        <f>D31</f>
        <v>Nakit İhtiyacı - 2</v>
      </c>
      <c r="D4" s="27"/>
      <c r="E4" s="27"/>
      <c r="F4" s="39">
        <f>F40</f>
        <v>329999.94000000006</v>
      </c>
      <c r="G4" s="39">
        <f t="shared" ref="G4:H4" si="1">G40</f>
        <v>36666.660000000003</v>
      </c>
      <c r="H4" s="39">
        <f t="shared" si="1"/>
        <v>293333.28000000003</v>
      </c>
      <c r="I4" s="27"/>
      <c r="J4" s="35">
        <v>2025</v>
      </c>
      <c r="K4" s="170" t="s">
        <v>12</v>
      </c>
      <c r="L4" s="40">
        <f>F62</f>
        <v>266081.7</v>
      </c>
      <c r="M4" s="40">
        <f t="shared" ref="M4:N4" si="2">G62</f>
        <v>266081.7</v>
      </c>
      <c r="N4" s="40">
        <f t="shared" si="2"/>
        <v>0</v>
      </c>
      <c r="O4" s="27"/>
      <c r="P4" s="27"/>
    </row>
    <row r="5" spans="1:16" ht="13.5" customHeight="1">
      <c r="A5" s="37" t="s">
        <v>31</v>
      </c>
      <c r="B5" s="32">
        <v>45931</v>
      </c>
      <c r="C5" s="37" t="str">
        <f>D41</f>
        <v>Nakit İhtiyacı - 3</v>
      </c>
      <c r="D5" s="27"/>
      <c r="E5" s="27"/>
      <c r="F5" s="39">
        <f>F50</f>
        <v>1724999.9399999997</v>
      </c>
      <c r="G5" s="39">
        <f t="shared" ref="G5:H5" si="3">G50</f>
        <v>191666.66</v>
      </c>
      <c r="H5" s="39">
        <f t="shared" si="3"/>
        <v>1533333.2799999998</v>
      </c>
      <c r="I5" s="27"/>
      <c r="J5" s="35">
        <v>2025</v>
      </c>
      <c r="K5" s="170" t="s">
        <v>42</v>
      </c>
      <c r="L5" s="40">
        <f>SUM(F63,F84)</f>
        <v>1047748.5800000001</v>
      </c>
      <c r="M5" s="40">
        <f t="shared" ref="M5:N5" si="4">SUM(G63,G84)</f>
        <v>1047748.5800000001</v>
      </c>
      <c r="N5" s="40">
        <f t="shared" si="4"/>
        <v>0</v>
      </c>
      <c r="O5" s="27"/>
      <c r="P5" s="39"/>
    </row>
    <row r="6" spans="1:16" ht="13.5" customHeight="1">
      <c r="A6" s="37" t="s">
        <v>31</v>
      </c>
      <c r="B6" s="32">
        <v>45931</v>
      </c>
      <c r="C6" s="37" t="str">
        <f>D51</f>
        <v>Nakit İhtiyacı - 4</v>
      </c>
      <c r="D6" s="27"/>
      <c r="E6" s="27"/>
      <c r="F6" s="39">
        <f>F60</f>
        <v>1999999.98</v>
      </c>
      <c r="G6" s="39">
        <f t="shared" ref="G6:H6" si="5">G60</f>
        <v>444444.44</v>
      </c>
      <c r="H6" s="39">
        <f t="shared" si="5"/>
        <v>1555555.54</v>
      </c>
      <c r="I6" s="27"/>
      <c r="J6" s="35">
        <v>2026</v>
      </c>
      <c r="K6" s="170" t="s">
        <v>44</v>
      </c>
      <c r="L6" s="40">
        <f>SUM(F64,F85)</f>
        <v>1047748.5800000001</v>
      </c>
      <c r="M6" s="40">
        <f t="shared" ref="M6:N6" si="6">SUM(G64,G85)</f>
        <v>1047748.5800000001</v>
      </c>
      <c r="N6" s="40">
        <f t="shared" si="6"/>
        <v>0</v>
      </c>
      <c r="O6" s="27"/>
      <c r="P6" s="27"/>
    </row>
    <row r="7" spans="1:16" ht="13.5" customHeight="1">
      <c r="A7" s="37" t="s">
        <v>31</v>
      </c>
      <c r="B7" s="32">
        <v>45931</v>
      </c>
      <c r="C7" s="37" t="str">
        <f>D61</f>
        <v xml:space="preserve">KGF  Nakit İhtiyacı </v>
      </c>
      <c r="D7" s="27"/>
      <c r="E7" s="27"/>
      <c r="F7" s="39">
        <f>F73</f>
        <v>3192980.4000000008</v>
      </c>
      <c r="G7" s="39">
        <f t="shared" ref="G7:H7" si="7">G73</f>
        <v>1862571.9</v>
      </c>
      <c r="H7" s="39">
        <f t="shared" si="7"/>
        <v>1330408.5</v>
      </c>
      <c r="I7" s="27"/>
      <c r="J7" s="35">
        <v>2026</v>
      </c>
      <c r="K7" s="170" t="s">
        <v>46</v>
      </c>
      <c r="L7" s="40">
        <f>SUM(F51,F65,F74,F86)</f>
        <v>2132008.1</v>
      </c>
      <c r="M7" s="40">
        <f t="shared" ref="M7:N7" si="8">SUM(G51,G65,G74,G86)</f>
        <v>2132007.6</v>
      </c>
      <c r="N7" s="40">
        <f t="shared" si="8"/>
        <v>0.5</v>
      </c>
      <c r="O7" s="27"/>
      <c r="P7" s="27"/>
    </row>
    <row r="8" spans="1:16" ht="13.5" customHeight="1">
      <c r="A8" s="37" t="s">
        <v>31</v>
      </c>
      <c r="B8" s="32">
        <v>45931</v>
      </c>
      <c r="C8" s="171" t="str">
        <f>D80</f>
        <v>Patch - ışık - Kalıp</v>
      </c>
      <c r="D8" s="27"/>
      <c r="E8" s="37"/>
      <c r="F8" s="39">
        <f>F83</f>
        <v>7758335.6999999993</v>
      </c>
      <c r="G8" s="39">
        <f t="shared" ref="G8:H8" si="9">G83</f>
        <v>1724074.6</v>
      </c>
      <c r="H8" s="39">
        <f t="shared" si="9"/>
        <v>6034261.0999999996</v>
      </c>
      <c r="I8" s="27"/>
      <c r="J8" s="35">
        <v>2026</v>
      </c>
      <c r="K8" s="170" t="s">
        <v>48</v>
      </c>
      <c r="L8" s="40">
        <f t="shared" ref="L8:L14" si="10">SUM(F21,F31,F41,F52,F66,F75,F87)</f>
        <v>2690341.42</v>
      </c>
      <c r="M8" s="40">
        <f t="shared" ref="M8:N8" si="11">SUM(G21,G31,G41,G52,G66,G75,G87)</f>
        <v>2690341.42</v>
      </c>
      <c r="N8" s="40">
        <f t="shared" si="11"/>
        <v>0</v>
      </c>
      <c r="O8" s="27"/>
      <c r="P8" s="27"/>
    </row>
    <row r="9" spans="1:16" ht="13.5" customHeight="1">
      <c r="A9" s="37"/>
      <c r="B9" s="38"/>
      <c r="C9" s="171" t="str">
        <f>D84</f>
        <v>Kgf Kredisi</v>
      </c>
      <c r="D9" s="27"/>
      <c r="E9" s="27"/>
      <c r="F9" s="39">
        <f>F96</f>
        <v>9380002.5899999999</v>
      </c>
      <c r="G9" s="39">
        <f t="shared" ref="G9:H9" si="12">G96</f>
        <v>3126667.02</v>
      </c>
      <c r="H9" s="39">
        <f t="shared" si="12"/>
        <v>6253335.5700000003</v>
      </c>
      <c r="I9" s="27"/>
      <c r="J9" s="35">
        <v>2026</v>
      </c>
      <c r="K9" s="170" t="s">
        <v>95</v>
      </c>
      <c r="L9" s="40">
        <f t="shared" si="10"/>
        <v>2690341.42</v>
      </c>
      <c r="M9" s="40">
        <f t="shared" ref="M9:N9" si="13">SUM(G22,G32,G42,G53,G67,G76,G88)</f>
        <v>266081.7</v>
      </c>
      <c r="N9" s="40">
        <f t="shared" si="13"/>
        <v>2424259.7200000002</v>
      </c>
      <c r="O9" s="27"/>
      <c r="P9" s="27"/>
    </row>
    <row r="10" spans="1:16" ht="13.5" customHeight="1">
      <c r="A10" s="37"/>
      <c r="B10" s="38"/>
      <c r="C10" s="35"/>
      <c r="D10" s="27"/>
      <c r="E10" s="27"/>
      <c r="F10" s="39"/>
      <c r="G10" s="39"/>
      <c r="H10" s="39"/>
      <c r="I10" s="27"/>
      <c r="J10" s="35">
        <v>2026</v>
      </c>
      <c r="K10" s="170" t="s">
        <v>96</v>
      </c>
      <c r="L10" s="40">
        <f t="shared" si="10"/>
        <v>2690341.42</v>
      </c>
      <c r="M10" s="40">
        <f t="shared" ref="M10:N10" si="14">SUM(G23,G33,G43,G54,G68,G77,G89)</f>
        <v>0</v>
      </c>
      <c r="N10" s="40">
        <f t="shared" si="14"/>
        <v>2690341.42</v>
      </c>
      <c r="O10" s="27"/>
      <c r="P10" s="27"/>
    </row>
    <row r="11" spans="1:16" ht="13.5" customHeight="1">
      <c r="A11" s="37"/>
      <c r="B11" s="38"/>
      <c r="C11" s="35"/>
      <c r="D11" s="27"/>
      <c r="E11" s="27"/>
      <c r="F11" s="39"/>
      <c r="G11" s="39"/>
      <c r="H11" s="39"/>
      <c r="I11" s="27"/>
      <c r="J11" s="35">
        <v>2026</v>
      </c>
      <c r="K11" s="170" t="s">
        <v>34</v>
      </c>
      <c r="L11" s="40">
        <f t="shared" si="10"/>
        <v>2690341.42</v>
      </c>
      <c r="M11" s="40">
        <f t="shared" ref="M11:N11" si="15">SUM(G24,G34,G44,G55,G69,G78,G90)</f>
        <v>0</v>
      </c>
      <c r="N11" s="40">
        <f t="shared" si="15"/>
        <v>2690341.42</v>
      </c>
      <c r="O11" s="27"/>
      <c r="P11" s="27"/>
    </row>
    <row r="12" spans="1:16" ht="13.5" customHeight="1">
      <c r="A12" s="37"/>
      <c r="B12" s="38"/>
      <c r="C12" s="35"/>
      <c r="D12" s="27"/>
      <c r="E12" s="27"/>
      <c r="F12" s="39"/>
      <c r="G12" s="39"/>
      <c r="H12" s="39"/>
      <c r="I12" s="27"/>
      <c r="J12" s="35">
        <v>2026</v>
      </c>
      <c r="K12" s="170" t="s">
        <v>8</v>
      </c>
      <c r="L12" s="40">
        <f t="shared" si="10"/>
        <v>2690341.42</v>
      </c>
      <c r="M12" s="40">
        <f t="shared" ref="M12:N12" si="16">SUM(G25,G35,G45,G56,G70,G79,G91)</f>
        <v>0</v>
      </c>
      <c r="N12" s="40">
        <f t="shared" si="16"/>
        <v>2690341.42</v>
      </c>
      <c r="O12" s="27"/>
      <c r="P12" s="27"/>
    </row>
    <row r="13" spans="1:16" ht="13.5" customHeight="1">
      <c r="A13" s="37"/>
      <c r="B13" s="38"/>
      <c r="C13" s="35"/>
      <c r="D13" s="27"/>
      <c r="E13" s="27"/>
      <c r="F13" s="39"/>
      <c r="G13" s="39"/>
      <c r="H13" s="39"/>
      <c r="I13" s="27"/>
      <c r="J13" s="35">
        <v>2026</v>
      </c>
      <c r="K13" s="170" t="s">
        <v>9</v>
      </c>
      <c r="L13" s="40">
        <f t="shared" si="10"/>
        <v>2690341.42</v>
      </c>
      <c r="M13" s="40">
        <f t="shared" ref="M13:N13" si="17">SUM(G26,G36,G46,G57,G71,G80,G92)</f>
        <v>0</v>
      </c>
      <c r="N13" s="40">
        <f t="shared" si="17"/>
        <v>2690341.42</v>
      </c>
      <c r="O13" s="27"/>
      <c r="P13" s="27"/>
    </row>
    <row r="14" spans="1:16" ht="13.5" customHeight="1">
      <c r="A14" s="37"/>
      <c r="B14" s="38"/>
      <c r="C14" s="35"/>
      <c r="D14" s="27"/>
      <c r="E14" s="27"/>
      <c r="F14" s="39"/>
      <c r="G14" s="39"/>
      <c r="H14" s="39"/>
      <c r="I14" s="27"/>
      <c r="J14" s="35">
        <v>2026</v>
      </c>
      <c r="K14" s="170" t="s">
        <v>10</v>
      </c>
      <c r="L14" s="40">
        <f t="shared" si="10"/>
        <v>2690341.42</v>
      </c>
      <c r="M14" s="40">
        <f t="shared" ref="M14:N14" si="18">SUM(G27,G37,G47,G58,G72,G81,G93)</f>
        <v>0</v>
      </c>
      <c r="N14" s="40">
        <f t="shared" si="18"/>
        <v>2690341.42</v>
      </c>
      <c r="O14" s="27"/>
      <c r="P14" s="27"/>
    </row>
    <row r="15" spans="1:16" ht="13.5" customHeight="1">
      <c r="A15" s="37"/>
      <c r="B15" s="38"/>
      <c r="C15" s="35"/>
      <c r="D15" s="27"/>
      <c r="E15" s="27"/>
      <c r="F15" s="39"/>
      <c r="G15" s="39"/>
      <c r="H15" s="39"/>
      <c r="I15" s="27"/>
      <c r="J15" s="35">
        <v>2026</v>
      </c>
      <c r="K15" s="170" t="s">
        <v>11</v>
      </c>
      <c r="L15" s="40">
        <f>SUM(F28,F38,F48,F59,F82,F94)</f>
        <v>2424259.7200000002</v>
      </c>
      <c r="M15" s="40">
        <f t="shared" ref="M15:N15" si="19">SUM(G28,G38,G48,G59,G82,G94)</f>
        <v>0</v>
      </c>
      <c r="N15" s="40">
        <f t="shared" si="19"/>
        <v>2424259.7200000002</v>
      </c>
      <c r="O15" s="27"/>
      <c r="P15" s="27"/>
    </row>
    <row r="16" spans="1:16" ht="13.5" customHeight="1">
      <c r="A16" s="27"/>
      <c r="B16" s="38"/>
      <c r="C16" s="27"/>
      <c r="D16" s="27"/>
      <c r="E16" s="27"/>
      <c r="F16" s="39"/>
      <c r="G16" s="39"/>
      <c r="H16" s="39"/>
      <c r="I16" s="27"/>
      <c r="J16" s="35">
        <v>2026</v>
      </c>
      <c r="K16" s="170" t="s">
        <v>12</v>
      </c>
      <c r="L16" s="40">
        <f>SUM(F29,F39,F49,F95)</f>
        <v>1340000.23</v>
      </c>
      <c r="M16" s="40">
        <f t="shared" ref="M16:N16" si="20">SUM(G29,G39,G49,G95)</f>
        <v>0</v>
      </c>
      <c r="N16" s="40">
        <f t="shared" si="20"/>
        <v>1340000.23</v>
      </c>
      <c r="O16" s="27"/>
      <c r="P16" s="27"/>
    </row>
    <row r="17" spans="1:16" ht="15.75" customHeight="1">
      <c r="A17" s="27"/>
      <c r="B17" s="27"/>
      <c r="C17" s="27"/>
      <c r="D17" s="27"/>
      <c r="E17" s="27"/>
      <c r="F17" s="172">
        <f>SUM(F3:F16)</f>
        <v>27356318.550000001</v>
      </c>
      <c r="G17" s="172">
        <f>SUM(G3:G16)</f>
        <v>7716091.2799999993</v>
      </c>
      <c r="H17" s="172">
        <f>SUM(H3:H16)</f>
        <v>19640227.27</v>
      </c>
      <c r="I17" s="27"/>
      <c r="J17" s="35">
        <v>2026</v>
      </c>
      <c r="K17" s="170" t="s">
        <v>42</v>
      </c>
      <c r="L17" s="40"/>
      <c r="M17" s="40"/>
      <c r="N17" s="40"/>
      <c r="O17" s="27"/>
      <c r="P17" s="27"/>
    </row>
    <row r="18" spans="1:16" ht="13.5" customHeight="1">
      <c r="A18" s="27"/>
      <c r="B18" s="27"/>
      <c r="C18" s="27"/>
      <c r="D18" s="27"/>
      <c r="E18" s="27"/>
      <c r="F18" s="27"/>
      <c r="G18" s="41"/>
      <c r="H18" s="27"/>
      <c r="I18" s="27"/>
      <c r="J18" s="27"/>
      <c r="K18" s="27"/>
      <c r="L18" s="27"/>
      <c r="M18" s="27"/>
      <c r="N18" s="27"/>
      <c r="O18" s="27"/>
      <c r="P18" s="27"/>
    </row>
    <row r="19" spans="1:16" ht="13.5" customHeight="1">
      <c r="A19" s="42"/>
      <c r="B19" s="42"/>
      <c r="C19" s="42"/>
      <c r="D19" s="42"/>
      <c r="E19" s="42"/>
      <c r="F19" s="42"/>
      <c r="G19" s="42"/>
      <c r="H19" s="42"/>
      <c r="I19" s="27"/>
      <c r="J19" s="27"/>
      <c r="K19" s="173" t="s">
        <v>336</v>
      </c>
      <c r="L19" s="172">
        <f>SUM(L3:L18)</f>
        <v>27356318.550000001</v>
      </c>
      <c r="M19" s="172">
        <f t="shared" ref="M19:N19" si="21">SUM(M3:M18)</f>
        <v>7716091.2800000003</v>
      </c>
      <c r="N19" s="172">
        <f t="shared" si="21"/>
        <v>19640227.27</v>
      </c>
      <c r="O19" s="27"/>
      <c r="P19" s="27"/>
    </row>
    <row r="20" spans="1:16" ht="20.75" customHeight="1">
      <c r="A20" s="43" t="s">
        <v>15</v>
      </c>
      <c r="B20" s="44" t="s">
        <v>53</v>
      </c>
      <c r="C20" s="45" t="s">
        <v>24</v>
      </c>
      <c r="D20" s="44" t="s">
        <v>54</v>
      </c>
      <c r="E20" s="44" t="s">
        <v>55</v>
      </c>
      <c r="F20" s="44" t="s">
        <v>56</v>
      </c>
      <c r="G20" s="44" t="s">
        <v>57</v>
      </c>
      <c r="H20" s="44" t="s">
        <v>58</v>
      </c>
      <c r="I20" s="46"/>
      <c r="J20" s="21"/>
      <c r="K20" s="21"/>
      <c r="L20" s="21"/>
      <c r="M20" s="21"/>
      <c r="N20" s="21"/>
      <c r="O20" s="27"/>
      <c r="P20" s="27"/>
    </row>
    <row r="21" spans="1:16" ht="13.5" customHeight="1">
      <c r="A21" s="47" t="s">
        <v>31</v>
      </c>
      <c r="B21" s="47" t="s">
        <v>59</v>
      </c>
      <c r="C21" s="48">
        <v>46112</v>
      </c>
      <c r="D21" s="167" t="s">
        <v>328</v>
      </c>
      <c r="E21" s="47" t="s">
        <v>61</v>
      </c>
      <c r="F21" s="49">
        <v>330000</v>
      </c>
      <c r="G21" s="49">
        <v>330000</v>
      </c>
      <c r="H21" s="49">
        <f t="shared" ref="H21:H29" si="22">F21-G21</f>
        <v>0</v>
      </c>
      <c r="I21" s="27"/>
      <c r="J21" s="27"/>
      <c r="K21" s="27"/>
      <c r="L21" s="27"/>
      <c r="M21" s="27"/>
      <c r="N21" s="27"/>
      <c r="O21" s="27"/>
      <c r="P21" s="27"/>
    </row>
    <row r="22" spans="1:16" ht="13.5" customHeight="1">
      <c r="A22" s="50" t="s">
        <v>31</v>
      </c>
      <c r="B22" s="50" t="s">
        <v>62</v>
      </c>
      <c r="C22" s="48">
        <v>46142</v>
      </c>
      <c r="D22" s="167" t="s">
        <v>328</v>
      </c>
      <c r="E22" s="50" t="s">
        <v>61</v>
      </c>
      <c r="F22" s="49">
        <v>330000</v>
      </c>
      <c r="G22" s="52"/>
      <c r="H22" s="52">
        <f t="shared" si="22"/>
        <v>330000</v>
      </c>
      <c r="I22" s="27"/>
      <c r="J22" s="27"/>
      <c r="K22" s="27"/>
      <c r="L22" s="27"/>
      <c r="M22" s="27"/>
      <c r="N22" s="27"/>
      <c r="O22" s="27"/>
      <c r="P22" s="27"/>
    </row>
    <row r="23" spans="1:16" ht="13.5" customHeight="1">
      <c r="A23" s="50" t="s">
        <v>31</v>
      </c>
      <c r="B23" s="50" t="s">
        <v>63</v>
      </c>
      <c r="C23" s="48">
        <v>46173</v>
      </c>
      <c r="D23" s="167" t="s">
        <v>328</v>
      </c>
      <c r="E23" s="50" t="s">
        <v>61</v>
      </c>
      <c r="F23" s="49">
        <v>330000</v>
      </c>
      <c r="G23" s="52"/>
      <c r="H23" s="52">
        <f t="shared" si="22"/>
        <v>330000</v>
      </c>
      <c r="I23" s="27"/>
      <c r="J23" s="27"/>
      <c r="K23" s="27"/>
      <c r="L23" s="27"/>
      <c r="M23" s="27"/>
      <c r="N23" s="27"/>
      <c r="O23" s="27"/>
      <c r="P23" s="27"/>
    </row>
    <row r="24" spans="1:16" ht="13.5" customHeight="1">
      <c r="A24" s="50" t="s">
        <v>31</v>
      </c>
      <c r="B24" s="50" t="s">
        <v>64</v>
      </c>
      <c r="C24" s="48">
        <v>46203</v>
      </c>
      <c r="D24" s="167" t="s">
        <v>328</v>
      </c>
      <c r="E24" s="50" t="s">
        <v>61</v>
      </c>
      <c r="F24" s="49">
        <v>330000</v>
      </c>
      <c r="G24" s="52"/>
      <c r="H24" s="52">
        <f t="shared" si="22"/>
        <v>330000</v>
      </c>
      <c r="I24" s="27"/>
      <c r="J24" s="27"/>
      <c r="K24" s="27"/>
      <c r="L24" s="27"/>
      <c r="M24" s="27"/>
      <c r="N24" s="27"/>
      <c r="O24" s="27"/>
      <c r="P24" s="27"/>
    </row>
    <row r="25" spans="1:16" ht="13.5" customHeight="1">
      <c r="A25" s="50" t="s">
        <v>31</v>
      </c>
      <c r="B25" s="50" t="s">
        <v>65</v>
      </c>
      <c r="C25" s="48">
        <v>46234</v>
      </c>
      <c r="D25" s="167" t="s">
        <v>328</v>
      </c>
      <c r="E25" s="50" t="s">
        <v>61</v>
      </c>
      <c r="F25" s="49">
        <v>330000</v>
      </c>
      <c r="G25" s="52"/>
      <c r="H25" s="52">
        <f t="shared" si="22"/>
        <v>330000</v>
      </c>
      <c r="I25" s="27"/>
      <c r="J25" s="27"/>
      <c r="K25" s="27"/>
      <c r="L25" s="27"/>
      <c r="M25" s="27"/>
      <c r="N25" s="27"/>
      <c r="O25" s="27"/>
      <c r="P25" s="27"/>
    </row>
    <row r="26" spans="1:16" ht="13.5" customHeight="1">
      <c r="A26" s="50" t="s">
        <v>31</v>
      </c>
      <c r="B26" s="50" t="s">
        <v>66</v>
      </c>
      <c r="C26" s="48">
        <v>46265</v>
      </c>
      <c r="D26" s="167" t="s">
        <v>328</v>
      </c>
      <c r="E26" s="50" t="s">
        <v>61</v>
      </c>
      <c r="F26" s="49">
        <v>330000</v>
      </c>
      <c r="G26" s="52"/>
      <c r="H26" s="52">
        <f t="shared" si="22"/>
        <v>330000</v>
      </c>
      <c r="I26" s="27"/>
      <c r="J26" s="27"/>
      <c r="K26" s="27"/>
      <c r="L26" s="27"/>
      <c r="M26" s="27"/>
      <c r="N26" s="27"/>
      <c r="O26" s="27"/>
      <c r="P26" s="27"/>
    </row>
    <row r="27" spans="1:16" ht="13.5" customHeight="1">
      <c r="A27" s="50" t="s">
        <v>31</v>
      </c>
      <c r="B27" s="50" t="s">
        <v>67</v>
      </c>
      <c r="C27" s="48">
        <v>46295</v>
      </c>
      <c r="D27" s="167" t="s">
        <v>328</v>
      </c>
      <c r="E27" s="50" t="s">
        <v>61</v>
      </c>
      <c r="F27" s="49">
        <v>330000</v>
      </c>
      <c r="G27" s="52"/>
      <c r="H27" s="52">
        <f t="shared" si="22"/>
        <v>330000</v>
      </c>
      <c r="I27" s="27"/>
      <c r="J27" s="27"/>
      <c r="K27" s="27"/>
      <c r="L27" s="27"/>
      <c r="M27" s="27"/>
      <c r="N27" s="27"/>
      <c r="O27" s="27"/>
      <c r="P27" s="27"/>
    </row>
    <row r="28" spans="1:16" ht="13.5" customHeight="1">
      <c r="A28" s="50" t="s">
        <v>31</v>
      </c>
      <c r="B28" s="50" t="s">
        <v>68</v>
      </c>
      <c r="C28" s="48">
        <v>46326</v>
      </c>
      <c r="D28" s="167" t="s">
        <v>328</v>
      </c>
      <c r="E28" s="50" t="s">
        <v>61</v>
      </c>
      <c r="F28" s="49">
        <v>330000</v>
      </c>
      <c r="G28" s="52"/>
      <c r="H28" s="52">
        <f t="shared" si="22"/>
        <v>330000</v>
      </c>
      <c r="I28" s="27"/>
      <c r="J28" s="27"/>
      <c r="K28" s="27"/>
      <c r="L28" s="27"/>
      <c r="M28" s="27"/>
      <c r="N28" s="27"/>
      <c r="O28" s="27"/>
      <c r="P28" s="27"/>
    </row>
    <row r="29" spans="1:16" ht="13.5" customHeight="1">
      <c r="A29" s="50" t="s">
        <v>31</v>
      </c>
      <c r="B29" s="50" t="s">
        <v>69</v>
      </c>
      <c r="C29" s="48">
        <v>46356</v>
      </c>
      <c r="D29" s="167" t="s">
        <v>328</v>
      </c>
      <c r="E29" s="50" t="s">
        <v>61</v>
      </c>
      <c r="F29" s="49">
        <v>330000</v>
      </c>
      <c r="G29" s="53"/>
      <c r="H29" s="53">
        <f t="shared" si="22"/>
        <v>330000</v>
      </c>
      <c r="I29" s="27"/>
      <c r="J29" s="27"/>
      <c r="K29" s="27"/>
      <c r="L29" s="27"/>
      <c r="M29" s="27"/>
      <c r="N29" s="27"/>
      <c r="O29" s="27"/>
      <c r="P29" s="27"/>
    </row>
    <row r="30" spans="1:16" ht="13.5" customHeight="1">
      <c r="A30" s="54"/>
      <c r="B30" s="54"/>
      <c r="C30" s="51"/>
      <c r="D30" s="54"/>
      <c r="E30" s="55"/>
      <c r="F30" s="56">
        <f>SUM(F21:F29)</f>
        <v>2970000</v>
      </c>
      <c r="G30" s="57">
        <f>SUM(G21:G29)</f>
        <v>330000</v>
      </c>
      <c r="H30" s="57">
        <f>SUM(H21:H29)</f>
        <v>2640000</v>
      </c>
      <c r="I30" s="46"/>
      <c r="J30" s="27"/>
      <c r="K30" s="27"/>
      <c r="L30" s="27"/>
      <c r="M30" s="27"/>
      <c r="N30" s="27"/>
      <c r="O30" s="27"/>
      <c r="P30" s="27"/>
    </row>
    <row r="31" spans="1:16" ht="13.5" customHeight="1">
      <c r="A31" s="50" t="s">
        <v>31</v>
      </c>
      <c r="B31" s="47" t="s">
        <v>59</v>
      </c>
      <c r="C31" s="51">
        <v>46112</v>
      </c>
      <c r="D31" s="167" t="s">
        <v>329</v>
      </c>
      <c r="E31" s="50" t="s">
        <v>61</v>
      </c>
      <c r="F31" s="168">
        <v>36666.660000000003</v>
      </c>
      <c r="G31" s="49">
        <v>36666.660000000003</v>
      </c>
      <c r="H31" s="49">
        <f t="shared" ref="H31:H39" si="23">F31-G31</f>
        <v>0</v>
      </c>
      <c r="I31" s="27"/>
      <c r="J31" s="27"/>
      <c r="K31" s="27"/>
      <c r="L31" s="27"/>
      <c r="M31" s="27"/>
      <c r="N31" s="27"/>
      <c r="O31" s="27"/>
      <c r="P31" s="27"/>
    </row>
    <row r="32" spans="1:16" ht="13.5" customHeight="1">
      <c r="A32" s="50" t="s">
        <v>31</v>
      </c>
      <c r="B32" s="50" t="s">
        <v>62</v>
      </c>
      <c r="C32" s="51">
        <v>46142</v>
      </c>
      <c r="D32" s="167" t="s">
        <v>329</v>
      </c>
      <c r="E32" s="50" t="s">
        <v>61</v>
      </c>
      <c r="F32" s="168">
        <v>36666.660000000003</v>
      </c>
      <c r="G32" s="52"/>
      <c r="H32" s="52">
        <f t="shared" si="23"/>
        <v>36666.660000000003</v>
      </c>
      <c r="I32" s="27"/>
      <c r="J32" s="27"/>
      <c r="K32" s="27"/>
      <c r="L32" s="27"/>
      <c r="M32" s="27"/>
      <c r="N32" s="27"/>
      <c r="O32" s="27"/>
      <c r="P32" s="27"/>
    </row>
    <row r="33" spans="1:16" ht="13.5" customHeight="1">
      <c r="A33" s="50" t="s">
        <v>31</v>
      </c>
      <c r="B33" s="50" t="s">
        <v>63</v>
      </c>
      <c r="C33" s="51">
        <v>46173</v>
      </c>
      <c r="D33" s="167" t="s">
        <v>329</v>
      </c>
      <c r="E33" s="50" t="s">
        <v>61</v>
      </c>
      <c r="F33" s="168">
        <v>36666.660000000003</v>
      </c>
      <c r="G33" s="52"/>
      <c r="H33" s="52">
        <f t="shared" si="23"/>
        <v>36666.660000000003</v>
      </c>
      <c r="I33" s="27"/>
      <c r="J33" s="27"/>
      <c r="K33" s="27"/>
      <c r="L33" s="27"/>
      <c r="M33" s="27"/>
      <c r="N33" s="27"/>
      <c r="O33" s="27"/>
      <c r="P33" s="27"/>
    </row>
    <row r="34" spans="1:16" ht="13.5" customHeight="1">
      <c r="A34" s="50" t="s">
        <v>31</v>
      </c>
      <c r="B34" s="50" t="s">
        <v>64</v>
      </c>
      <c r="C34" s="51">
        <v>46203</v>
      </c>
      <c r="D34" s="167" t="s">
        <v>329</v>
      </c>
      <c r="E34" s="50" t="s">
        <v>61</v>
      </c>
      <c r="F34" s="168">
        <v>36666.660000000003</v>
      </c>
      <c r="G34" s="52"/>
      <c r="H34" s="52">
        <f t="shared" si="23"/>
        <v>36666.660000000003</v>
      </c>
      <c r="I34" s="27"/>
      <c r="J34" s="27"/>
      <c r="K34" s="27"/>
      <c r="L34" s="27"/>
      <c r="M34" s="27"/>
      <c r="N34" s="27"/>
      <c r="O34" s="27"/>
      <c r="P34" s="27"/>
    </row>
    <row r="35" spans="1:16" ht="13.5" customHeight="1">
      <c r="A35" s="50" t="s">
        <v>31</v>
      </c>
      <c r="B35" s="50" t="s">
        <v>65</v>
      </c>
      <c r="C35" s="51">
        <v>46234</v>
      </c>
      <c r="D35" s="167" t="s">
        <v>329</v>
      </c>
      <c r="E35" s="50" t="s">
        <v>61</v>
      </c>
      <c r="F35" s="168">
        <v>36666.660000000003</v>
      </c>
      <c r="G35" s="52"/>
      <c r="H35" s="52">
        <f t="shared" si="23"/>
        <v>36666.660000000003</v>
      </c>
      <c r="I35" s="27"/>
      <c r="J35" s="27"/>
      <c r="K35" s="27"/>
      <c r="L35" s="27"/>
      <c r="M35" s="27"/>
      <c r="N35" s="27"/>
      <c r="O35" s="27"/>
      <c r="P35" s="27"/>
    </row>
    <row r="36" spans="1:16" ht="13.5" customHeight="1">
      <c r="A36" s="50" t="s">
        <v>31</v>
      </c>
      <c r="B36" s="50" t="s">
        <v>66</v>
      </c>
      <c r="C36" s="51">
        <v>46265</v>
      </c>
      <c r="D36" s="167" t="s">
        <v>329</v>
      </c>
      <c r="E36" s="50" t="s">
        <v>61</v>
      </c>
      <c r="F36" s="168">
        <v>36666.660000000003</v>
      </c>
      <c r="G36" s="52"/>
      <c r="H36" s="52">
        <f t="shared" si="23"/>
        <v>36666.660000000003</v>
      </c>
      <c r="I36" s="27"/>
      <c r="J36" s="27"/>
      <c r="K36" s="27"/>
      <c r="L36" s="27"/>
      <c r="M36" s="27"/>
      <c r="N36" s="27"/>
      <c r="O36" s="27"/>
      <c r="P36" s="27"/>
    </row>
    <row r="37" spans="1:16" ht="13.5" customHeight="1">
      <c r="A37" s="50" t="s">
        <v>31</v>
      </c>
      <c r="B37" s="50" t="s">
        <v>67</v>
      </c>
      <c r="C37" s="51">
        <v>46295</v>
      </c>
      <c r="D37" s="167" t="s">
        <v>329</v>
      </c>
      <c r="E37" s="50" t="s">
        <v>61</v>
      </c>
      <c r="F37" s="168">
        <v>36666.660000000003</v>
      </c>
      <c r="G37" s="52"/>
      <c r="H37" s="52">
        <f t="shared" si="23"/>
        <v>36666.660000000003</v>
      </c>
      <c r="I37" s="27"/>
      <c r="J37" s="27"/>
      <c r="K37" s="27"/>
      <c r="L37" s="27"/>
      <c r="M37" s="27"/>
      <c r="N37" s="27"/>
      <c r="O37" s="27"/>
      <c r="P37" s="27"/>
    </row>
    <row r="38" spans="1:16" ht="13.5" customHeight="1">
      <c r="A38" s="50" t="s">
        <v>31</v>
      </c>
      <c r="B38" s="50" t="s">
        <v>68</v>
      </c>
      <c r="C38" s="51">
        <v>46326</v>
      </c>
      <c r="D38" s="167" t="s">
        <v>329</v>
      </c>
      <c r="E38" s="50" t="s">
        <v>61</v>
      </c>
      <c r="F38" s="168">
        <v>36666.660000000003</v>
      </c>
      <c r="G38" s="53"/>
      <c r="H38" s="52">
        <f t="shared" si="23"/>
        <v>36666.660000000003</v>
      </c>
      <c r="I38" s="27"/>
      <c r="J38" s="27"/>
      <c r="K38" s="27"/>
      <c r="L38" s="27"/>
      <c r="M38" s="27"/>
      <c r="N38" s="27"/>
      <c r="O38" s="27"/>
      <c r="P38" s="27"/>
    </row>
    <row r="39" spans="1:16" ht="13.5" customHeight="1">
      <c r="A39" s="50" t="s">
        <v>31</v>
      </c>
      <c r="B39" s="50" t="s">
        <v>69</v>
      </c>
      <c r="C39" s="51">
        <v>46356</v>
      </c>
      <c r="D39" s="167" t="s">
        <v>329</v>
      </c>
      <c r="E39" s="50" t="s">
        <v>61</v>
      </c>
      <c r="F39" s="168">
        <v>36666.660000000003</v>
      </c>
      <c r="G39" s="53"/>
      <c r="H39" s="52">
        <f t="shared" si="23"/>
        <v>36666.660000000003</v>
      </c>
      <c r="I39" s="27"/>
      <c r="J39" s="27"/>
      <c r="K39" s="27"/>
      <c r="L39" s="27"/>
      <c r="M39" s="27"/>
      <c r="N39" s="27"/>
      <c r="O39" s="27"/>
      <c r="P39" s="27"/>
    </row>
    <row r="40" spans="1:16" ht="13.5" customHeight="1">
      <c r="A40" s="54"/>
      <c r="B40" s="54"/>
      <c r="C40" s="51"/>
      <c r="D40" s="54"/>
      <c r="E40" s="55"/>
      <c r="F40" s="56">
        <f>SUM(F31:F39)</f>
        <v>329999.94000000006</v>
      </c>
      <c r="G40" s="57">
        <f>SUM(G31:G39)</f>
        <v>36666.660000000003</v>
      </c>
      <c r="H40" s="57">
        <f>SUM(H31:H39)</f>
        <v>293333.28000000003</v>
      </c>
      <c r="I40" s="46"/>
      <c r="J40" s="27"/>
      <c r="K40" s="27"/>
      <c r="L40" s="27"/>
      <c r="M40" s="27"/>
      <c r="N40" s="27"/>
      <c r="O40" s="27"/>
      <c r="P40" s="27"/>
    </row>
    <row r="41" spans="1:16" ht="13.5" customHeight="1">
      <c r="A41" s="50" t="s">
        <v>31</v>
      </c>
      <c r="B41" s="47" t="s">
        <v>59</v>
      </c>
      <c r="C41" s="51">
        <v>46083</v>
      </c>
      <c r="D41" s="167" t="s">
        <v>330</v>
      </c>
      <c r="E41" s="50" t="s">
        <v>61</v>
      </c>
      <c r="F41" s="168">
        <v>191666.66</v>
      </c>
      <c r="G41" s="49">
        <v>191666.66</v>
      </c>
      <c r="H41" s="49">
        <f t="shared" ref="H41:H49" si="24">F41-G41</f>
        <v>0</v>
      </c>
      <c r="I41" s="27"/>
      <c r="J41" s="27"/>
      <c r="K41" s="27"/>
      <c r="L41" s="27"/>
      <c r="M41" s="27"/>
      <c r="N41" s="27"/>
      <c r="O41" s="27"/>
      <c r="P41" s="27"/>
    </row>
    <row r="42" spans="1:16" ht="13.5" customHeight="1">
      <c r="A42" s="50" t="s">
        <v>31</v>
      </c>
      <c r="B42" s="50" t="s">
        <v>62</v>
      </c>
      <c r="C42" s="51">
        <v>46114</v>
      </c>
      <c r="D42" s="167" t="s">
        <v>330</v>
      </c>
      <c r="E42" s="50" t="s">
        <v>61</v>
      </c>
      <c r="F42" s="168">
        <v>191666.66</v>
      </c>
      <c r="G42" s="52"/>
      <c r="H42" s="52">
        <f t="shared" si="24"/>
        <v>191666.66</v>
      </c>
      <c r="I42" s="27"/>
      <c r="J42" s="27"/>
      <c r="K42" s="27"/>
      <c r="L42" s="27"/>
      <c r="M42" s="27"/>
      <c r="N42" s="27"/>
      <c r="O42" s="27"/>
      <c r="P42" s="27"/>
    </row>
    <row r="43" spans="1:16" ht="13.5" customHeight="1">
      <c r="A43" s="50" t="s">
        <v>31</v>
      </c>
      <c r="B43" s="50" t="s">
        <v>63</v>
      </c>
      <c r="C43" s="51">
        <v>46144</v>
      </c>
      <c r="D43" s="167" t="s">
        <v>330</v>
      </c>
      <c r="E43" s="50" t="s">
        <v>61</v>
      </c>
      <c r="F43" s="168">
        <v>191666.66</v>
      </c>
      <c r="G43" s="52"/>
      <c r="H43" s="52">
        <f t="shared" si="24"/>
        <v>191666.66</v>
      </c>
      <c r="I43" s="27"/>
      <c r="J43" s="27"/>
      <c r="K43" s="27"/>
      <c r="L43" s="27"/>
      <c r="M43" s="27"/>
      <c r="N43" s="27"/>
      <c r="O43" s="27"/>
      <c r="P43" s="27"/>
    </row>
    <row r="44" spans="1:16" ht="13.5" customHeight="1">
      <c r="A44" s="50" t="s">
        <v>31</v>
      </c>
      <c r="B44" s="50" t="s">
        <v>64</v>
      </c>
      <c r="C44" s="51">
        <v>46175</v>
      </c>
      <c r="D44" s="167" t="s">
        <v>330</v>
      </c>
      <c r="E44" s="50" t="s">
        <v>61</v>
      </c>
      <c r="F44" s="168">
        <v>191666.66</v>
      </c>
      <c r="G44" s="52"/>
      <c r="H44" s="52">
        <f t="shared" si="24"/>
        <v>191666.66</v>
      </c>
      <c r="I44" s="27"/>
      <c r="J44" s="27"/>
      <c r="K44" s="27"/>
      <c r="L44" s="27"/>
      <c r="M44" s="27"/>
      <c r="N44" s="27"/>
      <c r="O44" s="27"/>
      <c r="P44" s="27"/>
    </row>
    <row r="45" spans="1:16" ht="13.5" customHeight="1">
      <c r="A45" s="50" t="s">
        <v>31</v>
      </c>
      <c r="B45" s="50" t="s">
        <v>65</v>
      </c>
      <c r="C45" s="51">
        <v>46205</v>
      </c>
      <c r="D45" s="167" t="s">
        <v>330</v>
      </c>
      <c r="E45" s="50" t="s">
        <v>61</v>
      </c>
      <c r="F45" s="168">
        <v>191666.66</v>
      </c>
      <c r="G45" s="52"/>
      <c r="H45" s="52">
        <f t="shared" si="24"/>
        <v>191666.66</v>
      </c>
      <c r="I45" s="27"/>
      <c r="J45" s="27"/>
      <c r="K45" s="27"/>
      <c r="L45" s="27"/>
      <c r="M45" s="27"/>
      <c r="N45" s="27"/>
      <c r="O45" s="27"/>
      <c r="P45" s="27"/>
    </row>
    <row r="46" spans="1:16" ht="13.5" customHeight="1">
      <c r="A46" s="50" t="s">
        <v>31</v>
      </c>
      <c r="B46" s="50" t="s">
        <v>66</v>
      </c>
      <c r="C46" s="51">
        <v>46236</v>
      </c>
      <c r="D46" s="167" t="s">
        <v>330</v>
      </c>
      <c r="E46" s="50" t="s">
        <v>61</v>
      </c>
      <c r="F46" s="168">
        <v>191666.66</v>
      </c>
      <c r="G46" s="52"/>
      <c r="H46" s="52">
        <f t="shared" si="24"/>
        <v>191666.66</v>
      </c>
      <c r="I46" s="27"/>
      <c r="J46" s="27"/>
      <c r="K46" s="27"/>
      <c r="L46" s="27"/>
      <c r="M46" s="27"/>
      <c r="N46" s="27"/>
      <c r="O46" s="27"/>
      <c r="P46" s="27"/>
    </row>
    <row r="47" spans="1:16" ht="13.5" customHeight="1">
      <c r="A47" s="50" t="s">
        <v>31</v>
      </c>
      <c r="B47" s="50" t="s">
        <v>67</v>
      </c>
      <c r="C47" s="51">
        <v>46267</v>
      </c>
      <c r="D47" s="167" t="s">
        <v>330</v>
      </c>
      <c r="E47" s="50" t="s">
        <v>61</v>
      </c>
      <c r="F47" s="168">
        <v>191666.66</v>
      </c>
      <c r="G47" s="52"/>
      <c r="H47" s="52">
        <f t="shared" si="24"/>
        <v>191666.66</v>
      </c>
      <c r="I47" s="27"/>
      <c r="J47" s="27"/>
      <c r="K47" s="27"/>
      <c r="L47" s="27"/>
      <c r="M47" s="27"/>
      <c r="N47" s="27"/>
      <c r="O47" s="27"/>
      <c r="P47" s="27"/>
    </row>
    <row r="48" spans="1:16" ht="13.5" customHeight="1">
      <c r="A48" s="50" t="s">
        <v>31</v>
      </c>
      <c r="B48" s="50" t="s">
        <v>68</v>
      </c>
      <c r="C48" s="51">
        <v>46297</v>
      </c>
      <c r="D48" s="167" t="s">
        <v>330</v>
      </c>
      <c r="E48" s="50" t="s">
        <v>61</v>
      </c>
      <c r="F48" s="168">
        <v>191666.66</v>
      </c>
      <c r="G48" s="53"/>
      <c r="H48" s="52">
        <f t="shared" si="24"/>
        <v>191666.66</v>
      </c>
      <c r="I48" s="27"/>
      <c r="J48" s="27"/>
      <c r="K48" s="27"/>
      <c r="L48" s="27"/>
      <c r="M48" s="27"/>
      <c r="N48" s="27"/>
      <c r="O48" s="27"/>
      <c r="P48" s="27"/>
    </row>
    <row r="49" spans="1:16" ht="13.5" customHeight="1">
      <c r="A49" s="50" t="s">
        <v>31</v>
      </c>
      <c r="B49" s="50" t="s">
        <v>69</v>
      </c>
      <c r="C49" s="51">
        <v>46328</v>
      </c>
      <c r="D49" s="167" t="s">
        <v>330</v>
      </c>
      <c r="E49" s="50" t="s">
        <v>61</v>
      </c>
      <c r="F49" s="168">
        <v>191666.66</v>
      </c>
      <c r="G49" s="53"/>
      <c r="H49" s="52">
        <f t="shared" si="24"/>
        <v>191666.66</v>
      </c>
      <c r="I49" s="27"/>
      <c r="J49" s="27"/>
      <c r="K49" s="27"/>
      <c r="L49" s="27"/>
      <c r="M49" s="27"/>
      <c r="N49" s="27"/>
      <c r="O49" s="27"/>
      <c r="P49" s="27"/>
    </row>
    <row r="50" spans="1:16" ht="13.5" customHeight="1">
      <c r="A50" s="54"/>
      <c r="B50" s="54"/>
      <c r="C50" s="51"/>
      <c r="D50" s="54"/>
      <c r="E50" s="55"/>
      <c r="F50" s="56">
        <f>SUM(F41:F49)</f>
        <v>1724999.9399999997</v>
      </c>
      <c r="G50" s="57">
        <f>SUM(G41:G49)</f>
        <v>191666.66</v>
      </c>
      <c r="H50" s="57">
        <f>SUM(H41:H49)</f>
        <v>1533333.2799999998</v>
      </c>
      <c r="I50" s="46"/>
      <c r="J50" s="27"/>
      <c r="K50" s="27"/>
      <c r="L50" s="27"/>
      <c r="M50" s="27"/>
      <c r="N50" s="27"/>
      <c r="O50" s="27"/>
      <c r="P50" s="27"/>
    </row>
    <row r="51" spans="1:16" ht="13.5" customHeight="1">
      <c r="A51" s="50" t="s">
        <v>31</v>
      </c>
      <c r="B51" s="47" t="s">
        <v>59</v>
      </c>
      <c r="C51" s="51">
        <v>46069</v>
      </c>
      <c r="D51" s="167" t="s">
        <v>331</v>
      </c>
      <c r="E51" s="50" t="s">
        <v>61</v>
      </c>
      <c r="F51" s="168">
        <v>222222.22</v>
      </c>
      <c r="G51" s="49">
        <v>222222.22</v>
      </c>
      <c r="H51" s="49">
        <f t="shared" ref="H51:H59" si="25">F51-G51</f>
        <v>0</v>
      </c>
      <c r="I51" s="27"/>
      <c r="J51" s="27"/>
      <c r="K51" s="27"/>
      <c r="L51" s="27"/>
      <c r="M51" s="27"/>
      <c r="N51" s="27"/>
      <c r="O51" s="27"/>
      <c r="P51" s="27"/>
    </row>
    <row r="52" spans="1:16" ht="13.5" customHeight="1">
      <c r="A52" s="50" t="s">
        <v>31</v>
      </c>
      <c r="B52" s="50" t="s">
        <v>62</v>
      </c>
      <c r="C52" s="51">
        <v>46097</v>
      </c>
      <c r="D52" s="167" t="s">
        <v>331</v>
      </c>
      <c r="E52" s="50" t="s">
        <v>61</v>
      </c>
      <c r="F52" s="168">
        <v>222222.22</v>
      </c>
      <c r="G52" s="52">
        <v>222222.22</v>
      </c>
      <c r="H52" s="52">
        <f t="shared" si="25"/>
        <v>0</v>
      </c>
      <c r="I52" s="27"/>
      <c r="J52" s="27"/>
      <c r="K52" s="27"/>
      <c r="L52" s="27"/>
      <c r="M52" s="27"/>
      <c r="N52" s="27"/>
      <c r="O52" s="27"/>
      <c r="P52" s="27"/>
    </row>
    <row r="53" spans="1:16" ht="13.5" customHeight="1">
      <c r="A53" s="50" t="s">
        <v>31</v>
      </c>
      <c r="B53" s="50" t="s">
        <v>63</v>
      </c>
      <c r="C53" s="51">
        <v>46128</v>
      </c>
      <c r="D53" s="167" t="s">
        <v>331</v>
      </c>
      <c r="E53" s="50" t="s">
        <v>61</v>
      </c>
      <c r="F53" s="168">
        <v>222222.22</v>
      </c>
      <c r="G53" s="52"/>
      <c r="H53" s="52">
        <f t="shared" si="25"/>
        <v>222222.22</v>
      </c>
      <c r="I53" s="27"/>
      <c r="J53" s="27"/>
      <c r="K53" s="27"/>
      <c r="L53" s="27"/>
      <c r="M53" s="27"/>
      <c r="N53" s="27"/>
      <c r="O53" s="27"/>
      <c r="P53" s="27"/>
    </row>
    <row r="54" spans="1:16" ht="13.5" customHeight="1">
      <c r="A54" s="50" t="s">
        <v>31</v>
      </c>
      <c r="B54" s="50" t="s">
        <v>64</v>
      </c>
      <c r="C54" s="51">
        <v>46158</v>
      </c>
      <c r="D54" s="167" t="s">
        <v>331</v>
      </c>
      <c r="E54" s="50" t="s">
        <v>61</v>
      </c>
      <c r="F54" s="168">
        <v>222222.22</v>
      </c>
      <c r="G54" s="52"/>
      <c r="H54" s="52">
        <f t="shared" si="25"/>
        <v>222222.22</v>
      </c>
      <c r="I54" s="27"/>
      <c r="J54" s="27"/>
      <c r="K54" s="27"/>
      <c r="L54" s="27"/>
      <c r="M54" s="27"/>
      <c r="N54" s="27"/>
      <c r="O54" s="27"/>
      <c r="P54" s="27"/>
    </row>
    <row r="55" spans="1:16" ht="13.5" customHeight="1">
      <c r="A55" s="50" t="s">
        <v>31</v>
      </c>
      <c r="B55" s="50" t="s">
        <v>65</v>
      </c>
      <c r="C55" s="51">
        <v>46189</v>
      </c>
      <c r="D55" s="167" t="s">
        <v>331</v>
      </c>
      <c r="E55" s="50" t="s">
        <v>61</v>
      </c>
      <c r="F55" s="168">
        <v>222222.22</v>
      </c>
      <c r="G55" s="52"/>
      <c r="H55" s="52">
        <f t="shared" si="25"/>
        <v>222222.22</v>
      </c>
      <c r="I55" s="27"/>
      <c r="J55" s="27"/>
      <c r="K55" s="27"/>
      <c r="L55" s="27"/>
      <c r="M55" s="27"/>
      <c r="N55" s="27"/>
      <c r="O55" s="27"/>
      <c r="P55" s="27"/>
    </row>
    <row r="56" spans="1:16" ht="13.5" customHeight="1">
      <c r="A56" s="50" t="s">
        <v>31</v>
      </c>
      <c r="B56" s="50" t="s">
        <v>66</v>
      </c>
      <c r="C56" s="51">
        <v>46219</v>
      </c>
      <c r="D56" s="167" t="s">
        <v>331</v>
      </c>
      <c r="E56" s="50" t="s">
        <v>61</v>
      </c>
      <c r="F56" s="168">
        <v>222222.22</v>
      </c>
      <c r="G56" s="52"/>
      <c r="H56" s="52">
        <f t="shared" si="25"/>
        <v>222222.22</v>
      </c>
      <c r="I56" s="27"/>
      <c r="J56" s="27"/>
      <c r="K56" s="27"/>
      <c r="L56" s="27"/>
      <c r="M56" s="27"/>
      <c r="N56" s="27"/>
      <c r="O56" s="27"/>
      <c r="P56" s="27"/>
    </row>
    <row r="57" spans="1:16" ht="13.5" customHeight="1">
      <c r="A57" s="50" t="s">
        <v>31</v>
      </c>
      <c r="B57" s="50" t="s">
        <v>67</v>
      </c>
      <c r="C57" s="51">
        <v>46250</v>
      </c>
      <c r="D57" s="167" t="s">
        <v>331</v>
      </c>
      <c r="E57" s="50" t="s">
        <v>61</v>
      </c>
      <c r="F57" s="168">
        <v>222222.22</v>
      </c>
      <c r="G57" s="52"/>
      <c r="H57" s="52">
        <f t="shared" si="25"/>
        <v>222222.22</v>
      </c>
      <c r="I57" s="27"/>
      <c r="J57" s="27"/>
      <c r="K57" s="27"/>
      <c r="L57" s="27"/>
      <c r="M57" s="27"/>
      <c r="N57" s="27"/>
      <c r="O57" s="27"/>
      <c r="P57" s="27"/>
    </row>
    <row r="58" spans="1:16" ht="13.5" customHeight="1">
      <c r="A58" s="50" t="s">
        <v>31</v>
      </c>
      <c r="B58" s="50" t="s">
        <v>68</v>
      </c>
      <c r="C58" s="51">
        <v>46281</v>
      </c>
      <c r="D58" s="167" t="s">
        <v>331</v>
      </c>
      <c r="E58" s="50" t="s">
        <v>61</v>
      </c>
      <c r="F58" s="168">
        <v>222222.22</v>
      </c>
      <c r="G58" s="53"/>
      <c r="H58" s="52">
        <f t="shared" si="25"/>
        <v>222222.22</v>
      </c>
      <c r="I58" s="27"/>
      <c r="J58" s="27"/>
      <c r="K58" s="27"/>
      <c r="L58" s="27"/>
      <c r="M58" s="27"/>
      <c r="N58" s="27"/>
      <c r="O58" s="27"/>
      <c r="P58" s="27"/>
    </row>
    <row r="59" spans="1:16" ht="13.5" customHeight="1">
      <c r="A59" s="50" t="s">
        <v>31</v>
      </c>
      <c r="B59" s="50" t="s">
        <v>69</v>
      </c>
      <c r="C59" s="51">
        <v>46311</v>
      </c>
      <c r="D59" s="167" t="s">
        <v>331</v>
      </c>
      <c r="E59" s="50" t="s">
        <v>61</v>
      </c>
      <c r="F59" s="168">
        <v>222222.22</v>
      </c>
      <c r="G59" s="53"/>
      <c r="H59" s="52">
        <f t="shared" si="25"/>
        <v>222222.22</v>
      </c>
      <c r="I59" s="27"/>
      <c r="J59" s="27"/>
      <c r="K59" s="27"/>
      <c r="L59" s="27"/>
      <c r="M59" s="27"/>
      <c r="N59" s="27"/>
      <c r="O59" s="27"/>
      <c r="P59" s="27"/>
    </row>
    <row r="60" spans="1:16" ht="13.5" customHeight="1">
      <c r="A60" s="54"/>
      <c r="B60" s="54"/>
      <c r="C60" s="51"/>
      <c r="D60" s="54"/>
      <c r="E60" s="55"/>
      <c r="F60" s="56">
        <f>SUM(F51:F59)</f>
        <v>1999999.98</v>
      </c>
      <c r="G60" s="57">
        <f>SUM(G51:G59)</f>
        <v>444444.44</v>
      </c>
      <c r="H60" s="57">
        <f>SUM(H51:H59)</f>
        <v>1555555.54</v>
      </c>
      <c r="I60" s="46"/>
      <c r="J60" s="27"/>
      <c r="K60" s="27"/>
      <c r="L60" s="27"/>
      <c r="M60" s="27"/>
      <c r="N60" s="27"/>
      <c r="O60" s="27"/>
      <c r="P60" s="27"/>
    </row>
    <row r="61" spans="1:16" ht="13.5" customHeight="1">
      <c r="A61" s="50" t="s">
        <v>31</v>
      </c>
      <c r="B61" s="47" t="s">
        <v>59</v>
      </c>
      <c r="C61" s="51">
        <v>45943</v>
      </c>
      <c r="D61" s="167" t="s">
        <v>332</v>
      </c>
      <c r="E61" s="169" t="s">
        <v>333</v>
      </c>
      <c r="F61" s="168">
        <v>266081.7</v>
      </c>
      <c r="G61" s="168">
        <v>266081.7</v>
      </c>
      <c r="H61" s="49">
        <f t="shared" ref="H61:H69" si="26">F61-G61</f>
        <v>0</v>
      </c>
      <c r="I61" s="27"/>
      <c r="J61" s="27"/>
      <c r="K61" s="27"/>
      <c r="L61" s="27"/>
      <c r="M61" s="27"/>
      <c r="N61" s="27"/>
      <c r="O61" s="27"/>
      <c r="P61" s="27"/>
    </row>
    <row r="62" spans="1:16" ht="13.5" customHeight="1">
      <c r="A62" s="50" t="s">
        <v>31</v>
      </c>
      <c r="B62" s="50" t="s">
        <v>62</v>
      </c>
      <c r="C62" s="51">
        <v>45974</v>
      </c>
      <c r="D62" s="167" t="s">
        <v>332</v>
      </c>
      <c r="E62" s="169" t="s">
        <v>333</v>
      </c>
      <c r="F62" s="168">
        <v>266081.7</v>
      </c>
      <c r="G62" s="168">
        <v>266081.7</v>
      </c>
      <c r="H62" s="52">
        <f t="shared" si="26"/>
        <v>0</v>
      </c>
      <c r="I62" s="27"/>
      <c r="J62" s="27"/>
      <c r="K62" s="27"/>
      <c r="L62" s="27"/>
      <c r="M62" s="27"/>
      <c r="N62" s="27"/>
      <c r="O62" s="27"/>
      <c r="P62" s="27"/>
    </row>
    <row r="63" spans="1:16" ht="13.5" customHeight="1">
      <c r="A63" s="50" t="s">
        <v>31</v>
      </c>
      <c r="B63" s="50" t="s">
        <v>63</v>
      </c>
      <c r="C63" s="51">
        <v>46004</v>
      </c>
      <c r="D63" s="167" t="s">
        <v>332</v>
      </c>
      <c r="E63" s="169" t="s">
        <v>333</v>
      </c>
      <c r="F63" s="168">
        <v>266081.7</v>
      </c>
      <c r="G63" s="168">
        <v>266081.7</v>
      </c>
      <c r="H63" s="52">
        <f t="shared" si="26"/>
        <v>0</v>
      </c>
      <c r="I63" s="27"/>
      <c r="J63" s="27"/>
      <c r="K63" s="27"/>
      <c r="L63" s="27"/>
      <c r="M63" s="27"/>
      <c r="N63" s="27"/>
      <c r="O63" s="27"/>
      <c r="P63" s="27"/>
    </row>
    <row r="64" spans="1:16" ht="13.5" customHeight="1">
      <c r="A64" s="50" t="s">
        <v>31</v>
      </c>
      <c r="B64" s="50" t="s">
        <v>64</v>
      </c>
      <c r="C64" s="51">
        <v>46035</v>
      </c>
      <c r="D64" s="167" t="s">
        <v>332</v>
      </c>
      <c r="E64" s="169" t="s">
        <v>333</v>
      </c>
      <c r="F64" s="168">
        <v>266081.7</v>
      </c>
      <c r="G64" s="52">
        <v>266081.7</v>
      </c>
      <c r="H64" s="52">
        <f t="shared" si="26"/>
        <v>0</v>
      </c>
      <c r="I64" s="27"/>
      <c r="J64" s="27"/>
      <c r="K64" s="27"/>
      <c r="L64" s="27"/>
      <c r="M64" s="27"/>
      <c r="N64" s="27"/>
      <c r="O64" s="27"/>
      <c r="P64" s="27"/>
    </row>
    <row r="65" spans="1:16" ht="13.5" customHeight="1">
      <c r="A65" s="50" t="s">
        <v>31</v>
      </c>
      <c r="B65" s="50" t="s">
        <v>65</v>
      </c>
      <c r="C65" s="51">
        <v>46066</v>
      </c>
      <c r="D65" s="167" t="s">
        <v>332</v>
      </c>
      <c r="E65" s="169" t="s">
        <v>333</v>
      </c>
      <c r="F65" s="168">
        <v>266081.7</v>
      </c>
      <c r="G65" s="52">
        <v>266081.7</v>
      </c>
      <c r="H65" s="52">
        <f t="shared" si="26"/>
        <v>0</v>
      </c>
      <c r="I65" s="27"/>
      <c r="J65" s="27"/>
      <c r="K65" s="27"/>
      <c r="L65" s="27"/>
      <c r="M65" s="27"/>
      <c r="N65" s="27"/>
      <c r="O65" s="27"/>
      <c r="P65" s="27"/>
    </row>
    <row r="66" spans="1:16" ht="13.5" customHeight="1">
      <c r="A66" s="50" t="s">
        <v>31</v>
      </c>
      <c r="B66" s="50" t="s">
        <v>66</v>
      </c>
      <c r="C66" s="51">
        <v>46094</v>
      </c>
      <c r="D66" s="167" t="s">
        <v>332</v>
      </c>
      <c r="E66" s="169" t="s">
        <v>333</v>
      </c>
      <c r="F66" s="168">
        <v>266081.7</v>
      </c>
      <c r="G66" s="52">
        <v>266081.7</v>
      </c>
      <c r="H66" s="52">
        <f t="shared" si="26"/>
        <v>0</v>
      </c>
      <c r="I66" s="27"/>
      <c r="J66" s="27"/>
      <c r="K66" s="27"/>
      <c r="L66" s="27"/>
      <c r="M66" s="27"/>
      <c r="N66" s="27"/>
      <c r="O66" s="27"/>
      <c r="P66" s="27"/>
    </row>
    <row r="67" spans="1:16" ht="13.5" customHeight="1">
      <c r="A67" s="50" t="s">
        <v>31</v>
      </c>
      <c r="B67" s="50" t="s">
        <v>67</v>
      </c>
      <c r="C67" s="51">
        <v>46125</v>
      </c>
      <c r="D67" s="167" t="s">
        <v>332</v>
      </c>
      <c r="E67" s="169" t="s">
        <v>333</v>
      </c>
      <c r="F67" s="168">
        <v>266081.7</v>
      </c>
      <c r="G67" s="528">
        <v>266081.7</v>
      </c>
      <c r="H67" s="52">
        <f t="shared" si="26"/>
        <v>0</v>
      </c>
      <c r="I67" s="27"/>
      <c r="J67" s="27"/>
      <c r="K67" s="27"/>
      <c r="L67" s="27"/>
      <c r="M67" s="27"/>
      <c r="N67" s="27"/>
      <c r="O67" s="27"/>
      <c r="P67" s="27"/>
    </row>
    <row r="68" spans="1:16" ht="13.5" customHeight="1">
      <c r="A68" s="50" t="s">
        <v>31</v>
      </c>
      <c r="B68" s="50" t="s">
        <v>68</v>
      </c>
      <c r="C68" s="51">
        <v>46155</v>
      </c>
      <c r="D68" s="167" t="s">
        <v>332</v>
      </c>
      <c r="E68" s="169" t="s">
        <v>333</v>
      </c>
      <c r="F68" s="168">
        <v>266081.7</v>
      </c>
      <c r="G68" s="53"/>
      <c r="H68" s="52">
        <f t="shared" si="26"/>
        <v>266081.7</v>
      </c>
      <c r="I68" s="27"/>
      <c r="J68" s="27"/>
      <c r="K68" s="27"/>
      <c r="L68" s="27"/>
      <c r="M68" s="27"/>
      <c r="N68" s="27"/>
      <c r="O68" s="27"/>
      <c r="P68" s="27"/>
    </row>
    <row r="69" spans="1:16" ht="13.5" customHeight="1">
      <c r="A69" s="50" t="s">
        <v>31</v>
      </c>
      <c r="B69" s="50" t="s">
        <v>69</v>
      </c>
      <c r="C69" s="51">
        <v>46186</v>
      </c>
      <c r="D69" s="167" t="s">
        <v>332</v>
      </c>
      <c r="E69" s="169" t="s">
        <v>333</v>
      </c>
      <c r="F69" s="168">
        <v>266081.7</v>
      </c>
      <c r="G69" s="53"/>
      <c r="H69" s="52">
        <f t="shared" si="26"/>
        <v>266081.7</v>
      </c>
      <c r="I69" s="27"/>
      <c r="J69" s="27"/>
      <c r="K69" s="27"/>
      <c r="L69" s="27"/>
      <c r="M69" s="27"/>
      <c r="N69" s="27"/>
      <c r="O69" s="27"/>
      <c r="P69" s="27"/>
    </row>
    <row r="70" spans="1:16" ht="13.5" customHeight="1">
      <c r="A70" s="50" t="s">
        <v>31</v>
      </c>
      <c r="B70" s="169" t="s">
        <v>73</v>
      </c>
      <c r="C70" s="51">
        <v>46216</v>
      </c>
      <c r="D70" s="167" t="s">
        <v>332</v>
      </c>
      <c r="E70" s="169" t="s">
        <v>333</v>
      </c>
      <c r="F70" s="168">
        <v>266081.7</v>
      </c>
      <c r="G70" s="52"/>
      <c r="H70" s="52">
        <f t="shared" ref="H70:H72" si="27">F70-G70</f>
        <v>266081.7</v>
      </c>
      <c r="I70" s="27"/>
      <c r="J70" s="27"/>
      <c r="K70" s="27"/>
      <c r="L70" s="27"/>
      <c r="M70" s="27"/>
      <c r="N70" s="27"/>
      <c r="O70" s="27"/>
      <c r="P70" s="27"/>
    </row>
    <row r="71" spans="1:16" ht="13.5" customHeight="1">
      <c r="A71" s="50" t="s">
        <v>31</v>
      </c>
      <c r="B71" s="169" t="s">
        <v>74</v>
      </c>
      <c r="C71" s="51">
        <v>46247</v>
      </c>
      <c r="D71" s="167" t="s">
        <v>332</v>
      </c>
      <c r="E71" s="169" t="s">
        <v>333</v>
      </c>
      <c r="F71" s="168">
        <v>266081.7</v>
      </c>
      <c r="G71" s="53"/>
      <c r="H71" s="52">
        <f t="shared" si="27"/>
        <v>266081.7</v>
      </c>
      <c r="I71" s="27"/>
      <c r="J71" s="27"/>
      <c r="K71" s="27"/>
      <c r="L71" s="27"/>
      <c r="M71" s="27"/>
      <c r="N71" s="27"/>
      <c r="O71" s="27"/>
      <c r="P71" s="27"/>
    </row>
    <row r="72" spans="1:16" ht="13.5" customHeight="1">
      <c r="A72" s="50" t="s">
        <v>31</v>
      </c>
      <c r="B72" s="169" t="s">
        <v>75</v>
      </c>
      <c r="C72" s="51">
        <v>46278</v>
      </c>
      <c r="D72" s="167" t="s">
        <v>332</v>
      </c>
      <c r="E72" s="169" t="s">
        <v>333</v>
      </c>
      <c r="F72" s="168">
        <v>266081.7</v>
      </c>
      <c r="G72" s="53"/>
      <c r="H72" s="52">
        <f t="shared" si="27"/>
        <v>266081.7</v>
      </c>
      <c r="I72" s="27"/>
      <c r="J72" s="27"/>
      <c r="K72" s="27"/>
      <c r="L72" s="27"/>
      <c r="M72" s="27"/>
      <c r="N72" s="27"/>
      <c r="O72" s="27"/>
      <c r="P72" s="27"/>
    </row>
    <row r="73" spans="1:16" ht="13.5" customHeight="1">
      <c r="A73" s="54"/>
      <c r="B73" s="54"/>
      <c r="C73" s="51"/>
      <c r="D73" s="54"/>
      <c r="E73" s="55"/>
      <c r="F73" s="56">
        <f>SUM(F61:F72)</f>
        <v>3192980.4000000008</v>
      </c>
      <c r="G73" s="57">
        <f>SUM(G61:G72)</f>
        <v>1862571.9</v>
      </c>
      <c r="H73" s="57">
        <f>SUM(H61:H72)</f>
        <v>1330408.5</v>
      </c>
      <c r="I73" s="46"/>
      <c r="J73" s="27"/>
      <c r="K73" s="27"/>
      <c r="L73" s="27"/>
      <c r="M73" s="27"/>
      <c r="N73" s="27"/>
      <c r="O73" s="27"/>
      <c r="P73" s="27"/>
    </row>
    <row r="74" spans="1:16" ht="13.5" customHeight="1">
      <c r="A74" s="50" t="s">
        <v>31</v>
      </c>
      <c r="B74" s="47" t="s">
        <v>59</v>
      </c>
      <c r="C74" s="51">
        <v>46073</v>
      </c>
      <c r="D74" s="167" t="s">
        <v>335</v>
      </c>
      <c r="E74" s="169" t="s">
        <v>334</v>
      </c>
      <c r="F74" s="168">
        <v>862037.3</v>
      </c>
      <c r="G74" s="49">
        <v>862037.3</v>
      </c>
      <c r="H74" s="49">
        <f t="shared" ref="H74:H82" si="28">F74-G74</f>
        <v>0</v>
      </c>
      <c r="I74" s="27"/>
      <c r="J74" s="27"/>
      <c r="K74" s="27"/>
      <c r="L74" s="27"/>
      <c r="M74" s="27"/>
      <c r="N74" s="27"/>
      <c r="O74" s="27"/>
      <c r="P74" s="27"/>
    </row>
    <row r="75" spans="1:16" ht="13.5" customHeight="1">
      <c r="A75" s="50" t="s">
        <v>31</v>
      </c>
      <c r="B75" s="50" t="s">
        <v>62</v>
      </c>
      <c r="C75" s="51">
        <v>46101</v>
      </c>
      <c r="D75" s="167" t="s">
        <v>335</v>
      </c>
      <c r="E75" s="169" t="s">
        <v>334</v>
      </c>
      <c r="F75" s="168">
        <v>862037.3</v>
      </c>
      <c r="G75" s="52">
        <v>862037.3</v>
      </c>
      <c r="H75" s="52">
        <f t="shared" si="28"/>
        <v>0</v>
      </c>
      <c r="I75" s="27"/>
      <c r="J75" s="27"/>
      <c r="K75" s="27"/>
      <c r="L75" s="27"/>
      <c r="M75" s="27"/>
      <c r="N75" s="27"/>
      <c r="O75" s="27"/>
      <c r="P75" s="27"/>
    </row>
    <row r="76" spans="1:16" ht="13.5" customHeight="1">
      <c r="A76" s="50" t="s">
        <v>31</v>
      </c>
      <c r="B76" s="50" t="s">
        <v>63</v>
      </c>
      <c r="C76" s="51">
        <v>46132</v>
      </c>
      <c r="D76" s="167" t="s">
        <v>335</v>
      </c>
      <c r="E76" s="169" t="s">
        <v>334</v>
      </c>
      <c r="F76" s="168">
        <v>862037.3</v>
      </c>
      <c r="G76" s="52"/>
      <c r="H76" s="52">
        <f t="shared" si="28"/>
        <v>862037.3</v>
      </c>
      <c r="I76" s="27"/>
      <c r="J76" s="27"/>
      <c r="K76" s="27"/>
      <c r="L76" s="27"/>
      <c r="M76" s="27"/>
      <c r="N76" s="27"/>
      <c r="O76" s="27"/>
      <c r="P76" s="27"/>
    </row>
    <row r="77" spans="1:16" ht="13.5" customHeight="1">
      <c r="A77" s="50" t="s">
        <v>31</v>
      </c>
      <c r="B77" s="50" t="s">
        <v>64</v>
      </c>
      <c r="C77" s="51">
        <v>46162</v>
      </c>
      <c r="D77" s="167" t="s">
        <v>335</v>
      </c>
      <c r="E77" s="169" t="s">
        <v>334</v>
      </c>
      <c r="F77" s="168">
        <v>862037.3</v>
      </c>
      <c r="G77" s="52"/>
      <c r="H77" s="52">
        <f t="shared" si="28"/>
        <v>862037.3</v>
      </c>
      <c r="I77" s="27"/>
      <c r="J77" s="27"/>
      <c r="K77" s="27"/>
      <c r="L77" s="27"/>
      <c r="M77" s="27"/>
      <c r="N77" s="27"/>
      <c r="O77" s="27"/>
      <c r="P77" s="27"/>
    </row>
    <row r="78" spans="1:16" ht="13.5" customHeight="1">
      <c r="A78" s="50" t="s">
        <v>31</v>
      </c>
      <c r="B78" s="50" t="s">
        <v>65</v>
      </c>
      <c r="C78" s="51">
        <v>46193</v>
      </c>
      <c r="D78" s="167" t="s">
        <v>335</v>
      </c>
      <c r="E78" s="169" t="s">
        <v>334</v>
      </c>
      <c r="F78" s="168">
        <v>862037.3</v>
      </c>
      <c r="G78" s="52"/>
      <c r="H78" s="52">
        <f t="shared" si="28"/>
        <v>862037.3</v>
      </c>
      <c r="I78" s="27"/>
      <c r="J78" s="27"/>
      <c r="K78" s="27"/>
      <c r="L78" s="27"/>
      <c r="M78" s="27"/>
      <c r="N78" s="27"/>
      <c r="O78" s="27"/>
      <c r="P78" s="27"/>
    </row>
    <row r="79" spans="1:16" ht="13.5" customHeight="1">
      <c r="A79" s="50" t="s">
        <v>31</v>
      </c>
      <c r="B79" s="50" t="s">
        <v>66</v>
      </c>
      <c r="C79" s="51">
        <v>46223</v>
      </c>
      <c r="D79" s="167" t="s">
        <v>335</v>
      </c>
      <c r="E79" s="169" t="s">
        <v>334</v>
      </c>
      <c r="F79" s="168">
        <v>862037.3</v>
      </c>
      <c r="G79" s="52"/>
      <c r="H79" s="52">
        <f t="shared" si="28"/>
        <v>862037.3</v>
      </c>
      <c r="I79" s="27"/>
      <c r="J79" s="27"/>
      <c r="K79" s="27"/>
      <c r="L79" s="27"/>
      <c r="M79" s="27"/>
      <c r="N79" s="27"/>
      <c r="O79" s="27"/>
      <c r="P79" s="27"/>
    </row>
    <row r="80" spans="1:16" ht="13.5" customHeight="1">
      <c r="A80" s="50" t="s">
        <v>31</v>
      </c>
      <c r="B80" s="50" t="s">
        <v>67</v>
      </c>
      <c r="C80" s="51">
        <v>46254</v>
      </c>
      <c r="D80" s="167" t="s">
        <v>335</v>
      </c>
      <c r="E80" s="169" t="s">
        <v>334</v>
      </c>
      <c r="F80" s="168">
        <v>862037.3</v>
      </c>
      <c r="G80" s="52"/>
      <c r="H80" s="52">
        <f t="shared" si="28"/>
        <v>862037.3</v>
      </c>
      <c r="I80" s="27"/>
      <c r="J80" s="27"/>
      <c r="K80" s="27"/>
      <c r="L80" s="27"/>
      <c r="M80" s="27"/>
      <c r="N80" s="27"/>
      <c r="O80" s="27"/>
      <c r="P80" s="27"/>
    </row>
    <row r="81" spans="1:16" ht="13.5" customHeight="1">
      <c r="A81" s="50" t="s">
        <v>31</v>
      </c>
      <c r="B81" s="50" t="s">
        <v>68</v>
      </c>
      <c r="C81" s="51">
        <v>46285</v>
      </c>
      <c r="D81" s="167" t="s">
        <v>335</v>
      </c>
      <c r="E81" s="169" t="s">
        <v>334</v>
      </c>
      <c r="F81" s="168">
        <v>862037.3</v>
      </c>
      <c r="G81" s="53"/>
      <c r="H81" s="52">
        <f t="shared" si="28"/>
        <v>862037.3</v>
      </c>
      <c r="I81" s="27"/>
      <c r="J81" s="27"/>
      <c r="K81" s="27"/>
      <c r="L81" s="27"/>
      <c r="M81" s="27"/>
      <c r="N81" s="27"/>
      <c r="O81" s="27"/>
      <c r="P81" s="27"/>
    </row>
    <row r="82" spans="1:16" ht="13.5" customHeight="1">
      <c r="A82" s="50" t="s">
        <v>31</v>
      </c>
      <c r="B82" s="50" t="s">
        <v>69</v>
      </c>
      <c r="C82" s="51">
        <v>46315</v>
      </c>
      <c r="D82" s="167" t="s">
        <v>335</v>
      </c>
      <c r="E82" s="169" t="s">
        <v>334</v>
      </c>
      <c r="F82" s="168">
        <v>862037.3</v>
      </c>
      <c r="G82" s="53"/>
      <c r="H82" s="52">
        <f t="shared" si="28"/>
        <v>862037.3</v>
      </c>
      <c r="I82" s="27"/>
      <c r="J82" s="27"/>
      <c r="K82" s="27"/>
      <c r="L82" s="27"/>
      <c r="M82" s="27"/>
      <c r="N82" s="27"/>
      <c r="O82" s="27"/>
      <c r="P82" s="27"/>
    </row>
    <row r="83" spans="1:16" ht="13.5" customHeight="1">
      <c r="A83" s="54"/>
      <c r="B83" s="54"/>
      <c r="C83" s="51"/>
      <c r="D83" s="54"/>
      <c r="E83" s="55"/>
      <c r="F83" s="56">
        <f>SUM(F74:F82)</f>
        <v>7758335.6999999993</v>
      </c>
      <c r="G83" s="57">
        <f>SUM(G74:G82)</f>
        <v>1724074.6</v>
      </c>
      <c r="H83" s="57">
        <f>SUM(H74:H82)</f>
        <v>6034261.0999999996</v>
      </c>
      <c r="I83" s="46"/>
      <c r="J83" s="27"/>
      <c r="K83" s="27"/>
      <c r="L83" s="27"/>
      <c r="M83" s="27"/>
      <c r="N83" s="27"/>
      <c r="O83" s="27"/>
      <c r="P83" s="27"/>
    </row>
    <row r="84" spans="1:16" ht="13.5" customHeight="1">
      <c r="A84" s="50" t="s">
        <v>31</v>
      </c>
      <c r="B84" s="219" t="s">
        <v>594</v>
      </c>
      <c r="C84" s="51">
        <v>46016</v>
      </c>
      <c r="D84" s="219" t="s">
        <v>592</v>
      </c>
      <c r="E84" s="220" t="s">
        <v>593</v>
      </c>
      <c r="F84" s="168">
        <v>781666.88</v>
      </c>
      <c r="G84" s="168">
        <v>781666.88</v>
      </c>
      <c r="H84" s="49">
        <f t="shared" ref="H84:H92" si="29">F84-G84</f>
        <v>0</v>
      </c>
      <c r="I84" s="27"/>
      <c r="J84" s="27"/>
      <c r="K84" s="27"/>
      <c r="L84" s="27"/>
      <c r="M84" s="27"/>
      <c r="N84" s="27"/>
      <c r="O84" s="27"/>
      <c r="P84" s="27"/>
    </row>
    <row r="85" spans="1:16" ht="13.5" customHeight="1">
      <c r="A85" s="50" t="s">
        <v>31</v>
      </c>
      <c r="B85" s="219" t="s">
        <v>595</v>
      </c>
      <c r="C85" s="51">
        <v>46048</v>
      </c>
      <c r="D85" s="219" t="s">
        <v>592</v>
      </c>
      <c r="E85" s="220" t="s">
        <v>593</v>
      </c>
      <c r="F85" s="168">
        <v>781666.88</v>
      </c>
      <c r="G85" s="52">
        <v>781666.88</v>
      </c>
      <c r="H85" s="52">
        <f t="shared" si="29"/>
        <v>0</v>
      </c>
      <c r="I85" s="27"/>
      <c r="J85" s="27"/>
      <c r="K85" s="27"/>
      <c r="L85" s="27"/>
      <c r="M85" s="27"/>
      <c r="N85" s="27"/>
      <c r="O85" s="27"/>
      <c r="P85" s="27"/>
    </row>
    <row r="86" spans="1:16" ht="13.5" customHeight="1">
      <c r="A86" s="50" t="s">
        <v>31</v>
      </c>
      <c r="B86" s="219" t="s">
        <v>596</v>
      </c>
      <c r="C86" s="51">
        <v>46078</v>
      </c>
      <c r="D86" s="219" t="s">
        <v>592</v>
      </c>
      <c r="E86" s="220" t="s">
        <v>593</v>
      </c>
      <c r="F86" s="168">
        <v>781666.88</v>
      </c>
      <c r="G86" s="52">
        <v>781666.38</v>
      </c>
      <c r="H86" s="52">
        <f t="shared" si="29"/>
        <v>0.5</v>
      </c>
      <c r="I86" s="27"/>
      <c r="J86" s="27"/>
      <c r="K86" s="27"/>
      <c r="L86" s="27"/>
      <c r="M86" s="27"/>
      <c r="N86" s="27"/>
      <c r="O86" s="27"/>
      <c r="P86" s="27"/>
    </row>
    <row r="87" spans="1:16" ht="13.5" customHeight="1">
      <c r="A87" s="50" t="s">
        <v>31</v>
      </c>
      <c r="B87" s="219" t="s">
        <v>597</v>
      </c>
      <c r="C87" s="51">
        <v>46106</v>
      </c>
      <c r="D87" s="219" t="s">
        <v>592</v>
      </c>
      <c r="E87" s="220" t="s">
        <v>593</v>
      </c>
      <c r="F87" s="168">
        <v>781666.88</v>
      </c>
      <c r="G87" s="52">
        <v>781666.88</v>
      </c>
      <c r="H87" s="52">
        <f t="shared" si="29"/>
        <v>0</v>
      </c>
      <c r="I87" s="27"/>
      <c r="J87" s="27"/>
      <c r="K87" s="27"/>
      <c r="L87" s="27"/>
      <c r="M87" s="27"/>
      <c r="N87" s="27"/>
      <c r="O87" s="27"/>
      <c r="P87" s="27"/>
    </row>
    <row r="88" spans="1:16" ht="13.5" customHeight="1">
      <c r="A88" s="50" t="s">
        <v>31</v>
      </c>
      <c r="B88" s="219" t="s">
        <v>598</v>
      </c>
      <c r="C88" s="51">
        <v>46139</v>
      </c>
      <c r="D88" s="219" t="s">
        <v>592</v>
      </c>
      <c r="E88" s="220" t="s">
        <v>593</v>
      </c>
      <c r="F88" s="168">
        <v>781666.88</v>
      </c>
      <c r="G88" s="52"/>
      <c r="H88" s="52">
        <f t="shared" si="29"/>
        <v>781666.88</v>
      </c>
      <c r="I88" s="27"/>
      <c r="J88" s="27"/>
      <c r="K88" s="27"/>
      <c r="L88" s="27"/>
      <c r="M88" s="27"/>
      <c r="N88" s="27"/>
      <c r="O88" s="27"/>
      <c r="P88" s="27"/>
    </row>
    <row r="89" spans="1:16" ht="13.5" customHeight="1">
      <c r="A89" s="50" t="s">
        <v>31</v>
      </c>
      <c r="B89" s="219" t="s">
        <v>599</v>
      </c>
      <c r="C89" s="51">
        <v>46167</v>
      </c>
      <c r="D89" s="219" t="s">
        <v>592</v>
      </c>
      <c r="E89" s="220" t="s">
        <v>593</v>
      </c>
      <c r="F89" s="168">
        <v>781666.88</v>
      </c>
      <c r="G89" s="52"/>
      <c r="H89" s="52">
        <f t="shared" si="29"/>
        <v>781666.88</v>
      </c>
      <c r="I89" s="27"/>
      <c r="J89" s="27"/>
      <c r="K89" s="27"/>
      <c r="L89" s="27"/>
      <c r="M89" s="27"/>
      <c r="N89" s="27"/>
      <c r="O89" s="27"/>
      <c r="P89" s="27"/>
    </row>
    <row r="90" spans="1:16" ht="13.5" customHeight="1">
      <c r="A90" s="50" t="s">
        <v>31</v>
      </c>
      <c r="B90" s="219" t="s">
        <v>600</v>
      </c>
      <c r="C90" s="51">
        <v>46198</v>
      </c>
      <c r="D90" s="219" t="s">
        <v>592</v>
      </c>
      <c r="E90" s="220" t="s">
        <v>593</v>
      </c>
      <c r="F90" s="168">
        <v>781666.88</v>
      </c>
      <c r="G90" s="52"/>
      <c r="H90" s="52">
        <f t="shared" si="29"/>
        <v>781666.88</v>
      </c>
      <c r="I90" s="27"/>
      <c r="J90" s="27"/>
      <c r="K90" s="27"/>
      <c r="L90" s="27"/>
      <c r="M90" s="27"/>
      <c r="N90" s="27"/>
      <c r="O90" s="27"/>
      <c r="P90" s="27"/>
    </row>
    <row r="91" spans="1:16" ht="13.5" customHeight="1">
      <c r="A91" s="50" t="s">
        <v>31</v>
      </c>
      <c r="B91" s="219" t="s">
        <v>601</v>
      </c>
      <c r="C91" s="51">
        <v>46230</v>
      </c>
      <c r="D91" s="219" t="s">
        <v>592</v>
      </c>
      <c r="E91" s="220" t="s">
        <v>593</v>
      </c>
      <c r="F91" s="168">
        <v>781666.88</v>
      </c>
      <c r="G91" s="53"/>
      <c r="H91" s="52">
        <f t="shared" si="29"/>
        <v>781666.88</v>
      </c>
      <c r="I91" s="27"/>
      <c r="J91" s="27"/>
      <c r="K91" s="27"/>
      <c r="L91" s="27"/>
      <c r="M91" s="27"/>
      <c r="N91" s="27"/>
      <c r="O91" s="27"/>
      <c r="P91" s="27"/>
    </row>
    <row r="92" spans="1:16" ht="13.5" customHeight="1">
      <c r="A92" s="50" t="s">
        <v>31</v>
      </c>
      <c r="B92" s="219" t="s">
        <v>602</v>
      </c>
      <c r="C92" s="51">
        <v>46259</v>
      </c>
      <c r="D92" s="219" t="s">
        <v>592</v>
      </c>
      <c r="E92" s="220" t="s">
        <v>593</v>
      </c>
      <c r="F92" s="168">
        <v>781666.88</v>
      </c>
      <c r="G92" s="53"/>
      <c r="H92" s="52">
        <f t="shared" si="29"/>
        <v>781666.88</v>
      </c>
      <c r="I92" s="27"/>
      <c r="J92" s="27"/>
      <c r="K92" s="27"/>
      <c r="L92" s="27"/>
      <c r="M92" s="27"/>
      <c r="N92" s="27"/>
      <c r="O92" s="27"/>
      <c r="P92" s="27"/>
    </row>
    <row r="93" spans="1:16" ht="13.5" customHeight="1">
      <c r="A93" s="50" t="s">
        <v>31</v>
      </c>
      <c r="B93" s="219" t="s">
        <v>603</v>
      </c>
      <c r="C93" s="51">
        <v>46290</v>
      </c>
      <c r="D93" s="219" t="s">
        <v>592</v>
      </c>
      <c r="E93" s="220" t="s">
        <v>593</v>
      </c>
      <c r="F93" s="168">
        <v>781666.88</v>
      </c>
      <c r="G93" s="52"/>
      <c r="H93" s="52">
        <f t="shared" ref="H93:H95" si="30">F93-G93</f>
        <v>781666.88</v>
      </c>
      <c r="I93" s="27"/>
      <c r="J93" s="27"/>
      <c r="K93" s="27"/>
      <c r="L93" s="27"/>
      <c r="M93" s="27"/>
      <c r="N93" s="27"/>
      <c r="O93" s="27"/>
      <c r="P93" s="27"/>
    </row>
    <row r="94" spans="1:16" ht="13.5" customHeight="1">
      <c r="A94" s="50" t="s">
        <v>31</v>
      </c>
      <c r="B94" s="219" t="s">
        <v>604</v>
      </c>
      <c r="C94" s="51">
        <v>46321</v>
      </c>
      <c r="D94" s="219" t="s">
        <v>592</v>
      </c>
      <c r="E94" s="220" t="s">
        <v>593</v>
      </c>
      <c r="F94" s="168">
        <v>781666.88</v>
      </c>
      <c r="G94" s="53"/>
      <c r="H94" s="52">
        <f t="shared" si="30"/>
        <v>781666.88</v>
      </c>
      <c r="I94" s="27"/>
      <c r="J94" s="27"/>
      <c r="K94" s="27"/>
      <c r="L94" s="27"/>
      <c r="M94" s="27"/>
      <c r="N94" s="27"/>
      <c r="O94" s="27"/>
      <c r="P94" s="27"/>
    </row>
    <row r="95" spans="1:16" ht="13.5" customHeight="1">
      <c r="A95" s="50" t="s">
        <v>31</v>
      </c>
      <c r="B95" s="219" t="s">
        <v>605</v>
      </c>
      <c r="C95" s="51">
        <v>46351</v>
      </c>
      <c r="D95" s="219" t="s">
        <v>592</v>
      </c>
      <c r="E95" s="220" t="s">
        <v>593</v>
      </c>
      <c r="F95" s="168">
        <v>781666.91</v>
      </c>
      <c r="G95" s="53"/>
      <c r="H95" s="52">
        <f t="shared" si="30"/>
        <v>781666.91</v>
      </c>
      <c r="I95" s="27"/>
      <c r="J95" s="27"/>
      <c r="K95" s="27"/>
      <c r="L95" s="27"/>
      <c r="M95" s="27"/>
      <c r="N95" s="27"/>
      <c r="O95" s="27"/>
      <c r="P95" s="27"/>
    </row>
    <row r="96" spans="1:16" ht="13.5" customHeight="1">
      <c r="A96" s="54"/>
      <c r="B96" s="54"/>
      <c r="C96" s="51"/>
      <c r="D96" s="54"/>
      <c r="E96" s="55"/>
      <c r="F96" s="56">
        <f>SUM(F84:F95)</f>
        <v>9380002.5899999999</v>
      </c>
      <c r="G96" s="57">
        <f>SUM(G84:G95)</f>
        <v>3126667.02</v>
      </c>
      <c r="H96" s="57">
        <f>SUM(H84:H95)</f>
        <v>6253335.5700000003</v>
      </c>
      <c r="I96" s="46"/>
      <c r="J96" s="27"/>
      <c r="K96" s="27"/>
      <c r="L96" s="27"/>
      <c r="M96" s="27"/>
      <c r="N96" s="27"/>
      <c r="O96" s="27"/>
      <c r="P96" s="27"/>
    </row>
    <row r="97" spans="1:16" ht="39" customHeight="1">
      <c r="A97" s="59"/>
      <c r="B97" s="59"/>
      <c r="C97" s="59"/>
      <c r="D97" s="59"/>
      <c r="E97" s="60" t="s">
        <v>91</v>
      </c>
      <c r="F97" s="61">
        <f>F30+F40+F50+F73+F60+F83+F96</f>
        <v>27356318.550000001</v>
      </c>
      <c r="G97" s="61">
        <f t="shared" ref="G97:H97" si="31">G30+G40+G50+G73+G60+G83+G96</f>
        <v>7716091.2799999993</v>
      </c>
      <c r="H97" s="61">
        <f t="shared" si="31"/>
        <v>19640227.27</v>
      </c>
      <c r="I97" s="27"/>
      <c r="J97" s="27"/>
      <c r="K97" s="27"/>
      <c r="L97" s="27"/>
      <c r="M97" s="27"/>
      <c r="N97" s="21"/>
      <c r="O97" s="27"/>
      <c r="P97" s="27"/>
    </row>
  </sheetData>
  <autoFilter ref="A20:P97" xr:uid="{1964D557-6297-445A-B4C6-73935949592F}"/>
  <phoneticPr fontId="14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8"/>
  <sheetViews>
    <sheetView showGridLines="0" topLeftCell="A2" zoomScale="108" zoomScaleNormal="108" workbookViewId="0">
      <selection activeCell="E35" sqref="E35:E37"/>
    </sheetView>
  </sheetViews>
  <sheetFormatPr baseColWidth="10" defaultColWidth="8.6640625" defaultRowHeight="15" customHeight="1"/>
  <cols>
    <col min="1" max="1" width="11.5" bestFit="1" customWidth="1"/>
    <col min="2" max="2" width="12.5" bestFit="1" customWidth="1"/>
    <col min="3" max="3" width="46.5" bestFit="1" customWidth="1"/>
    <col min="4" max="4" width="10.6640625" style="461" customWidth="1"/>
    <col min="5" max="5" width="16.1640625" bestFit="1" customWidth="1"/>
    <col min="6" max="6" width="20.6640625" style="142" customWidth="1"/>
    <col min="7" max="7" width="17.1640625" customWidth="1"/>
    <col min="8" max="8" width="10.6640625" customWidth="1"/>
    <col min="9" max="9" width="8.5" bestFit="1" customWidth="1"/>
    <col min="10" max="11" width="16.6640625" bestFit="1" customWidth="1"/>
    <col min="12" max="12" width="14.6640625" bestFit="1" customWidth="1"/>
    <col min="13" max="13" width="10.33203125" customWidth="1"/>
    <col min="14" max="14" width="10.6640625" customWidth="1"/>
    <col min="15" max="16384" width="8.6640625" style="1"/>
  </cols>
  <sheetData>
    <row r="1" spans="1:14" ht="15.75" customHeight="1">
      <c r="A1" s="462" t="s">
        <v>31</v>
      </c>
      <c r="B1" s="463">
        <v>45960</v>
      </c>
      <c r="C1" s="464" t="s">
        <v>337</v>
      </c>
      <c r="D1" s="465" t="s">
        <v>735</v>
      </c>
      <c r="E1" s="466">
        <v>100000</v>
      </c>
      <c r="F1" s="466">
        <v>100000</v>
      </c>
      <c r="G1" s="466">
        <f t="shared" ref="G1:G42" si="0">E1-F1</f>
        <v>0</v>
      </c>
      <c r="H1" s="467">
        <v>2025</v>
      </c>
      <c r="I1" s="462" t="s">
        <v>11</v>
      </c>
      <c r="J1" s="468">
        <f>SUM(E1,E2,E3,E4,E5)</f>
        <v>719668.25</v>
      </c>
      <c r="K1" s="468">
        <f>SUM(F1,F2,F3,F4,F5)</f>
        <v>719668.25</v>
      </c>
      <c r="L1" s="468">
        <f>SUM(G1,G2,G3,G4,G5)</f>
        <v>0</v>
      </c>
      <c r="M1" s="469"/>
      <c r="N1" s="1"/>
    </row>
    <row r="2" spans="1:14" ht="13.5" customHeight="1">
      <c r="A2" s="462" t="s">
        <v>31</v>
      </c>
      <c r="B2" s="463">
        <v>45960</v>
      </c>
      <c r="C2" s="464" t="s">
        <v>736</v>
      </c>
      <c r="D2" s="465" t="s">
        <v>737</v>
      </c>
      <c r="E2" s="466">
        <v>120000</v>
      </c>
      <c r="F2" s="466">
        <v>120000</v>
      </c>
      <c r="G2" s="466">
        <f t="shared" si="0"/>
        <v>0</v>
      </c>
      <c r="H2" s="470">
        <v>2025</v>
      </c>
      <c r="I2" s="471" t="s">
        <v>12</v>
      </c>
      <c r="J2" s="472">
        <f>SUM(E6,E7,E8)</f>
        <v>440000</v>
      </c>
      <c r="K2" s="472">
        <f>SUM(F6,F7,F8)</f>
        <v>440000</v>
      </c>
      <c r="L2" s="472">
        <f>SUM(G6,G7,G8)</f>
        <v>0</v>
      </c>
      <c r="M2" s="469"/>
      <c r="N2" s="1"/>
    </row>
    <row r="3" spans="1:14" ht="13.5" customHeight="1">
      <c r="A3" s="462" t="s">
        <v>31</v>
      </c>
      <c r="B3" s="463">
        <v>45961</v>
      </c>
      <c r="C3" s="464" t="s">
        <v>738</v>
      </c>
      <c r="D3" s="465" t="s">
        <v>739</v>
      </c>
      <c r="E3" s="466">
        <v>74668.25</v>
      </c>
      <c r="F3" s="466">
        <v>74668.25</v>
      </c>
      <c r="G3" s="466">
        <f t="shared" si="0"/>
        <v>0</v>
      </c>
      <c r="H3" s="470">
        <v>2025</v>
      </c>
      <c r="I3" s="471" t="s">
        <v>42</v>
      </c>
      <c r="J3" s="472">
        <f>SUM(E9,E10,E11)</f>
        <v>939967.07000000007</v>
      </c>
      <c r="K3" s="472">
        <f>SUM(F9,F10,F11)</f>
        <v>939967.07000000007</v>
      </c>
      <c r="L3" s="472">
        <f>SUM(G9,G10,G11)</f>
        <v>0</v>
      </c>
      <c r="M3" s="473"/>
      <c r="N3" s="1"/>
    </row>
    <row r="4" spans="1:14" ht="13.5" customHeight="1">
      <c r="A4" s="462" t="s">
        <v>31</v>
      </c>
      <c r="B4" s="463">
        <v>45961</v>
      </c>
      <c r="C4" s="464" t="s">
        <v>338</v>
      </c>
      <c r="D4" s="465" t="s">
        <v>740</v>
      </c>
      <c r="E4" s="466">
        <v>200000</v>
      </c>
      <c r="F4" s="466">
        <v>200000</v>
      </c>
      <c r="G4" s="466">
        <f t="shared" si="0"/>
        <v>0</v>
      </c>
      <c r="H4" s="470">
        <v>2026</v>
      </c>
      <c r="I4" s="471" t="s">
        <v>44</v>
      </c>
      <c r="J4" s="472">
        <f>SUM(E12,E13,E14)</f>
        <v>1458943.07</v>
      </c>
      <c r="K4" s="472">
        <f>SUM(F12,F13,F14)</f>
        <v>1458943.07</v>
      </c>
      <c r="L4" s="472">
        <f>SUM(G12,G13,G14)</f>
        <v>0</v>
      </c>
      <c r="M4" s="469"/>
      <c r="N4" s="1"/>
    </row>
    <row r="5" spans="1:14" ht="13.5" customHeight="1">
      <c r="A5" s="462" t="s">
        <v>31</v>
      </c>
      <c r="B5" s="463">
        <v>45961</v>
      </c>
      <c r="C5" s="464" t="s">
        <v>337</v>
      </c>
      <c r="D5" s="465" t="s">
        <v>741</v>
      </c>
      <c r="E5" s="466">
        <v>225000</v>
      </c>
      <c r="F5" s="466">
        <v>225000</v>
      </c>
      <c r="G5" s="466">
        <f t="shared" si="0"/>
        <v>0</v>
      </c>
      <c r="H5" s="470">
        <v>2026</v>
      </c>
      <c r="I5" s="471" t="s">
        <v>46</v>
      </c>
      <c r="J5" s="472">
        <f>SUM(E15,E16,E17)</f>
        <v>912505</v>
      </c>
      <c r="K5" s="472">
        <f>SUM(F15,F16,F17)</f>
        <v>912505</v>
      </c>
      <c r="L5" s="472">
        <f>SUM(G15,G16,G17)</f>
        <v>0</v>
      </c>
      <c r="M5" s="469"/>
      <c r="N5" s="1"/>
    </row>
    <row r="6" spans="1:14" ht="13.5" customHeight="1">
      <c r="A6" s="462" t="s">
        <v>31</v>
      </c>
      <c r="B6" s="463">
        <v>45989</v>
      </c>
      <c r="C6" s="464" t="s">
        <v>337</v>
      </c>
      <c r="D6" s="465" t="s">
        <v>742</v>
      </c>
      <c r="E6" s="466">
        <v>225000</v>
      </c>
      <c r="F6" s="466">
        <v>225000</v>
      </c>
      <c r="G6" s="466">
        <f t="shared" si="0"/>
        <v>0</v>
      </c>
      <c r="H6" s="470">
        <v>2026</v>
      </c>
      <c r="I6" s="471" t="s">
        <v>48</v>
      </c>
      <c r="J6" s="472">
        <v>526997.6</v>
      </c>
      <c r="K6" s="472">
        <v>526997.6</v>
      </c>
      <c r="L6" s="472">
        <v>0</v>
      </c>
      <c r="M6" s="469"/>
      <c r="N6" s="1"/>
    </row>
    <row r="7" spans="1:14" ht="13.5" customHeight="1">
      <c r="A7" s="462" t="s">
        <v>31</v>
      </c>
      <c r="B7" s="463">
        <v>45991</v>
      </c>
      <c r="C7" s="464" t="s">
        <v>339</v>
      </c>
      <c r="D7" s="465" t="s">
        <v>743</v>
      </c>
      <c r="E7" s="466">
        <v>100000</v>
      </c>
      <c r="F7" s="466">
        <v>100000</v>
      </c>
      <c r="G7" s="466">
        <f t="shared" si="0"/>
        <v>0</v>
      </c>
      <c r="H7" s="470">
        <v>2026</v>
      </c>
      <c r="I7" s="471" t="s">
        <v>95</v>
      </c>
      <c r="J7" s="472">
        <v>699686.04</v>
      </c>
      <c r="K7" s="472">
        <f>SUM(F19,F20,F21)</f>
        <v>26997.599999999999</v>
      </c>
      <c r="L7" s="472">
        <v>699686.04</v>
      </c>
      <c r="M7" s="469"/>
      <c r="N7" s="1"/>
    </row>
    <row r="8" spans="1:14" ht="13.5" customHeight="1">
      <c r="A8" s="462" t="s">
        <v>31</v>
      </c>
      <c r="B8" s="463">
        <v>45991</v>
      </c>
      <c r="C8" s="464" t="s">
        <v>337</v>
      </c>
      <c r="D8" s="465" t="s">
        <v>744</v>
      </c>
      <c r="E8" s="466">
        <v>115000</v>
      </c>
      <c r="F8" s="466">
        <v>115000</v>
      </c>
      <c r="G8" s="466">
        <f t="shared" si="0"/>
        <v>0</v>
      </c>
      <c r="H8" s="470">
        <v>2026</v>
      </c>
      <c r="I8" s="471" t="s">
        <v>96</v>
      </c>
      <c r="J8" s="472">
        <v>777180</v>
      </c>
      <c r="K8" s="472">
        <f>SUM(F22,F23)</f>
        <v>0</v>
      </c>
      <c r="L8" s="472">
        <v>777180</v>
      </c>
      <c r="M8" s="469"/>
      <c r="N8" s="1"/>
    </row>
    <row r="9" spans="1:14" ht="13.5" customHeight="1">
      <c r="A9" s="462" t="s">
        <v>31</v>
      </c>
      <c r="B9" s="463">
        <v>46006</v>
      </c>
      <c r="C9" s="464" t="s">
        <v>435</v>
      </c>
      <c r="D9" s="465" t="s">
        <v>745</v>
      </c>
      <c r="E9" s="466">
        <v>381024</v>
      </c>
      <c r="F9" s="466">
        <v>381024</v>
      </c>
      <c r="G9" s="466">
        <f t="shared" si="0"/>
        <v>0</v>
      </c>
      <c r="H9" s="470">
        <v>2026</v>
      </c>
      <c r="I9" s="471" t="s">
        <v>34</v>
      </c>
      <c r="J9" s="472">
        <v>685349.24</v>
      </c>
      <c r="K9" s="472">
        <f>SUM(F24,F25,F26)</f>
        <v>0</v>
      </c>
      <c r="L9" s="472">
        <v>685349.24</v>
      </c>
      <c r="M9" s="469"/>
      <c r="N9" s="1"/>
    </row>
    <row r="10" spans="1:14" ht="13.5" customHeight="1">
      <c r="A10" s="462" t="s">
        <v>31</v>
      </c>
      <c r="B10" s="474">
        <v>46022</v>
      </c>
      <c r="C10" s="475" t="s">
        <v>339</v>
      </c>
      <c r="D10" s="476" t="s">
        <v>746</v>
      </c>
      <c r="E10" s="477">
        <v>100000</v>
      </c>
      <c r="F10" s="477">
        <v>100000</v>
      </c>
      <c r="G10" s="466">
        <f t="shared" si="0"/>
        <v>0</v>
      </c>
      <c r="H10" s="470">
        <v>2026</v>
      </c>
      <c r="I10" s="471" t="s">
        <v>8</v>
      </c>
      <c r="J10" s="472">
        <v>757571</v>
      </c>
      <c r="K10" s="472">
        <f>SUM(F27,F28,F29)</f>
        <v>0</v>
      </c>
      <c r="L10" s="472">
        <v>757571</v>
      </c>
      <c r="M10" s="469"/>
      <c r="N10" s="1"/>
    </row>
    <row r="11" spans="1:14" ht="13.5" customHeight="1">
      <c r="A11" s="462" t="s">
        <v>31</v>
      </c>
      <c r="B11" s="474">
        <v>46022</v>
      </c>
      <c r="C11" s="475" t="s">
        <v>747</v>
      </c>
      <c r="D11" s="476" t="s">
        <v>748</v>
      </c>
      <c r="E11" s="477">
        <v>458943.07</v>
      </c>
      <c r="F11" s="477">
        <v>458943.07</v>
      </c>
      <c r="G11" s="466">
        <f t="shared" si="0"/>
        <v>0</v>
      </c>
      <c r="H11" s="470">
        <v>2026</v>
      </c>
      <c r="I11" s="471" t="s">
        <v>9</v>
      </c>
      <c r="J11" s="472">
        <v>657799.42000000004</v>
      </c>
      <c r="K11" s="472">
        <f>SUM(F30)</f>
        <v>0</v>
      </c>
      <c r="L11" s="472">
        <v>657799.42000000004</v>
      </c>
      <c r="M11" s="473"/>
      <c r="N11" s="1"/>
    </row>
    <row r="12" spans="1:14" ht="13.5" customHeight="1">
      <c r="A12" s="462" t="s">
        <v>31</v>
      </c>
      <c r="B12" s="474">
        <v>46053</v>
      </c>
      <c r="C12" s="475" t="s">
        <v>747</v>
      </c>
      <c r="D12" s="476" t="s">
        <v>749</v>
      </c>
      <c r="E12" s="477">
        <v>458943.07</v>
      </c>
      <c r="F12" s="477">
        <v>458943.07</v>
      </c>
      <c r="G12" s="466">
        <f t="shared" si="0"/>
        <v>0</v>
      </c>
      <c r="H12" s="470">
        <v>2026</v>
      </c>
      <c r="I12" s="471" t="s">
        <v>10</v>
      </c>
      <c r="J12" s="472">
        <v>700000</v>
      </c>
      <c r="K12" s="472">
        <v>0</v>
      </c>
      <c r="L12" s="472">
        <v>700000</v>
      </c>
      <c r="M12" s="469"/>
      <c r="N12" s="1"/>
    </row>
    <row r="13" spans="1:14" ht="13.5" customHeight="1">
      <c r="A13" s="462" t="s">
        <v>31</v>
      </c>
      <c r="B13" s="474">
        <v>46053</v>
      </c>
      <c r="C13" s="475" t="s">
        <v>340</v>
      </c>
      <c r="D13" s="476" t="s">
        <v>750</v>
      </c>
      <c r="E13" s="477">
        <v>500000</v>
      </c>
      <c r="F13" s="477">
        <v>500000</v>
      </c>
      <c r="G13" s="466">
        <f t="shared" si="0"/>
        <v>0</v>
      </c>
      <c r="H13" s="470">
        <v>2026</v>
      </c>
      <c r="I13" s="471" t="s">
        <v>11</v>
      </c>
      <c r="J13" s="472">
        <v>500000</v>
      </c>
      <c r="K13" s="472">
        <v>0</v>
      </c>
      <c r="L13" s="472">
        <v>500000</v>
      </c>
      <c r="M13" s="469"/>
      <c r="N13" s="1"/>
    </row>
    <row r="14" spans="1:14" ht="13.5" customHeight="1">
      <c r="A14" s="462" t="s">
        <v>31</v>
      </c>
      <c r="B14" s="474">
        <v>46053</v>
      </c>
      <c r="C14" s="475" t="s">
        <v>436</v>
      </c>
      <c r="D14" s="476" t="s">
        <v>751</v>
      </c>
      <c r="E14" s="477">
        <v>500000</v>
      </c>
      <c r="F14" s="477">
        <v>500000</v>
      </c>
      <c r="G14" s="466">
        <f t="shared" si="0"/>
        <v>0</v>
      </c>
      <c r="H14" s="470">
        <v>2026</v>
      </c>
      <c r="I14" s="471" t="s">
        <v>12</v>
      </c>
      <c r="J14" s="472">
        <v>250000</v>
      </c>
      <c r="K14" s="472">
        <v>0</v>
      </c>
      <c r="L14" s="472">
        <v>250000</v>
      </c>
      <c r="M14" s="469"/>
      <c r="N14" s="1"/>
    </row>
    <row r="15" spans="1:14" ht="13.5" customHeight="1">
      <c r="A15" s="462" t="s">
        <v>31</v>
      </c>
      <c r="B15" s="474">
        <v>46081</v>
      </c>
      <c r="C15" s="475" t="s">
        <v>339</v>
      </c>
      <c r="D15" s="476" t="s">
        <v>342</v>
      </c>
      <c r="E15" s="477">
        <v>200000</v>
      </c>
      <c r="F15" s="477">
        <v>200000</v>
      </c>
      <c r="G15" s="466">
        <f t="shared" si="0"/>
        <v>0</v>
      </c>
      <c r="H15" s="470">
        <v>2026</v>
      </c>
      <c r="I15" s="471" t="s">
        <v>42</v>
      </c>
      <c r="J15" s="472">
        <v>0</v>
      </c>
      <c r="K15" s="472">
        <v>0</v>
      </c>
      <c r="L15" s="469"/>
      <c r="M15" s="469"/>
      <c r="N15" s="1"/>
    </row>
    <row r="16" spans="1:14" ht="13.5" customHeight="1">
      <c r="A16" s="462" t="s">
        <v>31</v>
      </c>
      <c r="B16" s="474">
        <v>46081</v>
      </c>
      <c r="C16" s="475" t="s">
        <v>337</v>
      </c>
      <c r="D16" s="476" t="s">
        <v>343</v>
      </c>
      <c r="E16" s="477">
        <v>500000</v>
      </c>
      <c r="F16" s="477">
        <v>500000</v>
      </c>
      <c r="G16" s="466">
        <f t="shared" si="0"/>
        <v>0</v>
      </c>
      <c r="H16" s="470"/>
      <c r="I16" s="471"/>
      <c r="J16" s="472">
        <v>0</v>
      </c>
      <c r="K16" s="472">
        <v>0</v>
      </c>
      <c r="L16" s="469"/>
      <c r="M16" s="469"/>
      <c r="N16" s="1"/>
    </row>
    <row r="17" spans="1:14" ht="13.5" customHeight="1">
      <c r="A17" s="462" t="s">
        <v>31</v>
      </c>
      <c r="B17" s="474">
        <v>46081</v>
      </c>
      <c r="C17" s="475" t="s">
        <v>696</v>
      </c>
      <c r="D17" s="476" t="s">
        <v>906</v>
      </c>
      <c r="E17" s="477">
        <v>212505</v>
      </c>
      <c r="F17" s="477">
        <v>212505</v>
      </c>
      <c r="G17" s="466">
        <f t="shared" si="0"/>
        <v>0</v>
      </c>
      <c r="H17" s="470"/>
      <c r="I17" s="471"/>
      <c r="J17" s="472"/>
      <c r="K17" s="472"/>
      <c r="L17" s="469"/>
      <c r="M17" s="469"/>
      <c r="N17" s="1"/>
    </row>
    <row r="18" spans="1:14" ht="13.5" customHeight="1">
      <c r="A18" s="462" t="s">
        <v>31</v>
      </c>
      <c r="B18" s="474">
        <v>46112</v>
      </c>
      <c r="C18" s="475" t="s">
        <v>340</v>
      </c>
      <c r="D18" s="476" t="s">
        <v>344</v>
      </c>
      <c r="E18" s="477">
        <v>500000</v>
      </c>
      <c r="F18" s="477">
        <v>500000</v>
      </c>
      <c r="G18" s="466">
        <f t="shared" si="0"/>
        <v>0</v>
      </c>
      <c r="H18" s="470"/>
      <c r="I18" s="471"/>
      <c r="J18" s="472">
        <v>0</v>
      </c>
      <c r="K18" s="472">
        <v>0</v>
      </c>
      <c r="L18" s="469"/>
      <c r="M18" s="469"/>
      <c r="N18" s="1"/>
    </row>
    <row r="19" spans="1:14" ht="13.5" customHeight="1">
      <c r="A19" s="463" t="s">
        <v>894</v>
      </c>
      <c r="B19" s="463">
        <v>46112</v>
      </c>
      <c r="C19" s="464" t="s">
        <v>436</v>
      </c>
      <c r="D19" s="465" t="s">
        <v>905</v>
      </c>
      <c r="E19" s="478">
        <v>26997.599999999999</v>
      </c>
      <c r="F19" s="479">
        <v>26997.599999999999</v>
      </c>
      <c r="G19" s="478">
        <f t="shared" si="0"/>
        <v>0</v>
      </c>
      <c r="H19" s="480"/>
      <c r="I19" s="481"/>
      <c r="J19" s="481"/>
      <c r="K19" s="481"/>
      <c r="L19" s="481"/>
      <c r="M19" s="481"/>
    </row>
    <row r="20" spans="1:14" ht="13.5" customHeight="1">
      <c r="A20" s="462" t="s">
        <v>31</v>
      </c>
      <c r="B20" s="474">
        <v>46142</v>
      </c>
      <c r="C20" s="475" t="s">
        <v>752</v>
      </c>
      <c r="D20" s="476" t="s">
        <v>904</v>
      </c>
      <c r="E20" s="477">
        <v>400000</v>
      </c>
      <c r="F20" s="477"/>
      <c r="G20" s="466">
        <f t="shared" si="0"/>
        <v>400000</v>
      </c>
      <c r="H20" s="470"/>
      <c r="I20" s="471"/>
      <c r="J20" s="472"/>
      <c r="K20" s="469"/>
      <c r="L20" s="469"/>
      <c r="M20" s="469"/>
      <c r="N20" s="1"/>
    </row>
    <row r="21" spans="1:14" ht="13.5" customHeight="1">
      <c r="A21" s="462" t="s">
        <v>31</v>
      </c>
      <c r="B21" s="474">
        <v>46142</v>
      </c>
      <c r="C21" s="475" t="s">
        <v>437</v>
      </c>
      <c r="D21" s="476" t="s">
        <v>695</v>
      </c>
      <c r="E21" s="477">
        <v>74905.8</v>
      </c>
      <c r="F21" s="477"/>
      <c r="G21" s="466">
        <f t="shared" si="0"/>
        <v>74905.8</v>
      </c>
      <c r="H21" s="470"/>
      <c r="I21" s="471"/>
      <c r="J21" s="472"/>
      <c r="K21" s="469"/>
      <c r="L21" s="469"/>
      <c r="M21" s="469"/>
      <c r="N21" s="1"/>
    </row>
    <row r="22" spans="1:14" ht="13.5" customHeight="1">
      <c r="A22" s="462" t="s">
        <v>31</v>
      </c>
      <c r="B22" s="474">
        <v>46142</v>
      </c>
      <c r="C22" s="475" t="s">
        <v>693</v>
      </c>
      <c r="D22" s="476" t="s">
        <v>694</v>
      </c>
      <c r="E22" s="477">
        <v>75000</v>
      </c>
      <c r="F22" s="477"/>
      <c r="G22" s="466">
        <f t="shared" si="0"/>
        <v>75000</v>
      </c>
      <c r="H22" s="470"/>
      <c r="I22" s="471"/>
      <c r="J22" s="472"/>
      <c r="K22" s="469"/>
      <c r="L22" s="469"/>
      <c r="M22" s="469"/>
      <c r="N22" s="1"/>
    </row>
    <row r="23" spans="1:14" ht="13.5" customHeight="1">
      <c r="A23" s="462" t="s">
        <v>894</v>
      </c>
      <c r="B23" s="463">
        <v>46142</v>
      </c>
      <c r="C23" s="464" t="s">
        <v>436</v>
      </c>
      <c r="D23" s="465" t="s">
        <v>902</v>
      </c>
      <c r="E23" s="466">
        <v>149780.24</v>
      </c>
      <c r="F23" s="466"/>
      <c r="G23" s="466">
        <f t="shared" si="0"/>
        <v>149780.24</v>
      </c>
      <c r="H23" s="470"/>
      <c r="I23" s="469"/>
      <c r="J23" s="472"/>
      <c r="K23" s="469"/>
      <c r="L23" s="469"/>
      <c r="M23" s="469"/>
      <c r="N23" s="1"/>
    </row>
    <row r="24" spans="1:14" ht="13.5" customHeight="1">
      <c r="A24" s="462" t="s">
        <v>31</v>
      </c>
      <c r="B24" s="474">
        <v>46173</v>
      </c>
      <c r="C24" s="475" t="s">
        <v>341</v>
      </c>
      <c r="D24" s="476" t="s">
        <v>345</v>
      </c>
      <c r="E24" s="477">
        <v>540000</v>
      </c>
      <c r="F24" s="477"/>
      <c r="G24" s="466">
        <f t="shared" si="0"/>
        <v>540000</v>
      </c>
      <c r="H24" s="470"/>
      <c r="I24" s="471"/>
      <c r="J24" s="472"/>
      <c r="K24" s="469"/>
      <c r="L24" s="469"/>
      <c r="M24" s="469"/>
      <c r="N24" s="1"/>
    </row>
    <row r="25" spans="1:14" ht="13.5" customHeight="1">
      <c r="A25" s="462" t="s">
        <v>31</v>
      </c>
      <c r="B25" s="474">
        <v>46173</v>
      </c>
      <c r="C25" s="475" t="s">
        <v>693</v>
      </c>
      <c r="D25" s="476" t="s">
        <v>692</v>
      </c>
      <c r="E25" s="477">
        <v>75000</v>
      </c>
      <c r="F25" s="477"/>
      <c r="G25" s="466">
        <f t="shared" si="0"/>
        <v>75000</v>
      </c>
      <c r="H25" s="470"/>
      <c r="I25" s="471"/>
      <c r="J25" s="472"/>
      <c r="K25" s="469"/>
      <c r="L25" s="469"/>
      <c r="M25" s="469"/>
      <c r="N25" s="1"/>
    </row>
    <row r="26" spans="1:14" ht="13.5" customHeight="1">
      <c r="A26" s="462" t="s">
        <v>894</v>
      </c>
      <c r="B26" s="463">
        <v>46173</v>
      </c>
      <c r="C26" s="464" t="s">
        <v>436</v>
      </c>
      <c r="D26" s="465" t="s">
        <v>903</v>
      </c>
      <c r="E26" s="466">
        <v>162180</v>
      </c>
      <c r="F26" s="466"/>
      <c r="G26" s="466">
        <f t="shared" si="0"/>
        <v>162180</v>
      </c>
      <c r="H26" s="470"/>
      <c r="I26" s="469"/>
      <c r="J26" s="472"/>
      <c r="K26" s="469"/>
      <c r="L26" s="469"/>
      <c r="M26" s="469"/>
      <c r="N26" s="1"/>
    </row>
    <row r="27" spans="1:14" ht="13.5" customHeight="1">
      <c r="A27" s="462" t="s">
        <v>31</v>
      </c>
      <c r="B27" s="474">
        <v>46203</v>
      </c>
      <c r="C27" s="475" t="s">
        <v>437</v>
      </c>
      <c r="D27" s="476" t="s">
        <v>440</v>
      </c>
      <c r="E27" s="477">
        <v>210117</v>
      </c>
      <c r="F27" s="477"/>
      <c r="G27" s="466">
        <f t="shared" si="0"/>
        <v>210117</v>
      </c>
      <c r="H27" s="470"/>
      <c r="I27" s="469"/>
      <c r="J27" s="472"/>
      <c r="K27" s="469"/>
      <c r="L27" s="469"/>
      <c r="M27" s="469"/>
      <c r="N27" s="1"/>
    </row>
    <row r="28" spans="1:14" ht="13.5" customHeight="1">
      <c r="A28" s="462" t="s">
        <v>31</v>
      </c>
      <c r="B28" s="474">
        <v>46203</v>
      </c>
      <c r="C28" s="475" t="s">
        <v>438</v>
      </c>
      <c r="D28" s="476" t="s">
        <v>441</v>
      </c>
      <c r="E28" s="477">
        <v>200000</v>
      </c>
      <c r="F28" s="477"/>
      <c r="G28" s="466">
        <f t="shared" si="0"/>
        <v>200000</v>
      </c>
      <c r="H28" s="470"/>
      <c r="I28" s="471"/>
      <c r="J28" s="472"/>
      <c r="K28" s="469"/>
      <c r="L28" s="469"/>
      <c r="M28" s="469"/>
      <c r="N28" s="1"/>
    </row>
    <row r="29" spans="1:14" ht="13.5" customHeight="1">
      <c r="A29" s="462" t="s">
        <v>31</v>
      </c>
      <c r="B29" s="474">
        <v>46203</v>
      </c>
      <c r="C29" s="475" t="s">
        <v>436</v>
      </c>
      <c r="D29" s="476" t="s">
        <v>691</v>
      </c>
      <c r="E29" s="477">
        <v>100000</v>
      </c>
      <c r="F29" s="477"/>
      <c r="G29" s="466">
        <f t="shared" si="0"/>
        <v>100000</v>
      </c>
      <c r="H29" s="470"/>
      <c r="I29" s="471"/>
      <c r="J29" s="472"/>
      <c r="K29" s="469"/>
      <c r="L29" s="469"/>
      <c r="M29" s="469"/>
      <c r="N29" s="1"/>
    </row>
    <row r="30" spans="1:14" ht="13.5" customHeight="1">
      <c r="A30" s="462" t="s">
        <v>894</v>
      </c>
      <c r="B30" s="482">
        <v>46203</v>
      </c>
      <c r="C30" s="464" t="s">
        <v>895</v>
      </c>
      <c r="D30" s="465" t="s">
        <v>691</v>
      </c>
      <c r="E30" s="466">
        <v>100000</v>
      </c>
      <c r="F30" s="466"/>
      <c r="G30" s="466">
        <f t="shared" si="0"/>
        <v>100000</v>
      </c>
      <c r="H30" s="470"/>
      <c r="I30" s="469"/>
      <c r="J30" s="472"/>
      <c r="K30" s="469"/>
      <c r="L30" s="469"/>
      <c r="M30" s="469"/>
      <c r="N30" s="1"/>
    </row>
    <row r="31" spans="1:14" ht="13.5" customHeight="1">
      <c r="A31" s="462" t="s">
        <v>894</v>
      </c>
      <c r="B31" s="482">
        <v>46203</v>
      </c>
      <c r="C31" s="464" t="s">
        <v>896</v>
      </c>
      <c r="D31" s="465" t="s">
        <v>901</v>
      </c>
      <c r="E31" s="466">
        <v>75232.240000000005</v>
      </c>
      <c r="F31" s="466"/>
      <c r="G31" s="466">
        <f t="shared" si="0"/>
        <v>75232.240000000005</v>
      </c>
      <c r="H31" s="470"/>
      <c r="I31" s="469"/>
      <c r="J31" s="472"/>
      <c r="K31" s="469"/>
      <c r="L31" s="469"/>
      <c r="M31" s="469"/>
      <c r="N31" s="1"/>
    </row>
    <row r="32" spans="1:14" customFormat="1" ht="16">
      <c r="A32" s="483" t="s">
        <v>31</v>
      </c>
      <c r="B32" s="484">
        <v>46234</v>
      </c>
      <c r="C32" s="485" t="s">
        <v>439</v>
      </c>
      <c r="D32" s="486" t="s">
        <v>442</v>
      </c>
      <c r="E32" s="487">
        <v>307571</v>
      </c>
      <c r="F32" s="487"/>
      <c r="G32" s="488">
        <f t="shared" si="0"/>
        <v>307571</v>
      </c>
      <c r="H32" s="489"/>
      <c r="I32" s="483"/>
      <c r="J32" s="490"/>
      <c r="K32" s="489"/>
      <c r="L32" s="489"/>
      <c r="M32" s="489"/>
      <c r="N32" s="1"/>
    </row>
    <row r="33" spans="1:14" ht="13.5" customHeight="1">
      <c r="A33" s="462" t="s">
        <v>31</v>
      </c>
      <c r="B33" s="474">
        <v>46234</v>
      </c>
      <c r="C33" s="475" t="s">
        <v>438</v>
      </c>
      <c r="D33" s="476" t="s">
        <v>443</v>
      </c>
      <c r="E33" s="477">
        <v>200000</v>
      </c>
      <c r="F33" s="477"/>
      <c r="G33" s="466">
        <f t="shared" si="0"/>
        <v>200000</v>
      </c>
      <c r="H33" s="470"/>
      <c r="I33" s="469"/>
      <c r="J33" s="472"/>
      <c r="K33" s="469"/>
      <c r="L33" s="469"/>
      <c r="M33" s="469"/>
      <c r="N33" s="1"/>
    </row>
    <row r="34" spans="1:14" ht="13.5" customHeight="1">
      <c r="A34" s="462" t="s">
        <v>31</v>
      </c>
      <c r="B34" s="474">
        <v>46234</v>
      </c>
      <c r="C34" s="475" t="s">
        <v>690</v>
      </c>
      <c r="D34" s="476" t="s">
        <v>689</v>
      </c>
      <c r="E34" s="477">
        <v>250000</v>
      </c>
      <c r="F34" s="477"/>
      <c r="G34" s="466">
        <f t="shared" si="0"/>
        <v>250000</v>
      </c>
      <c r="H34" s="470"/>
      <c r="I34" s="469"/>
      <c r="J34" s="472"/>
      <c r="K34" s="469"/>
      <c r="L34" s="469"/>
      <c r="M34" s="469"/>
      <c r="N34" s="1"/>
    </row>
    <row r="35" spans="1:14" ht="13.5" customHeight="1">
      <c r="A35" s="491" t="s">
        <v>894</v>
      </c>
      <c r="B35" s="492">
        <v>46264</v>
      </c>
      <c r="C35" s="493" t="s">
        <v>895</v>
      </c>
      <c r="D35" s="494">
        <v>383265</v>
      </c>
      <c r="E35" s="495">
        <v>175000</v>
      </c>
      <c r="F35" s="495"/>
      <c r="G35" s="495">
        <f t="shared" si="0"/>
        <v>175000</v>
      </c>
      <c r="H35" s="496"/>
      <c r="I35" s="497"/>
      <c r="J35" s="498"/>
      <c r="K35" s="497"/>
      <c r="L35" s="497"/>
      <c r="M35" s="497"/>
      <c r="N35" s="1"/>
    </row>
    <row r="36" spans="1:14" ht="13.5" customHeight="1">
      <c r="A36" s="491" t="s">
        <v>31</v>
      </c>
      <c r="B36" s="499">
        <v>46265</v>
      </c>
      <c r="C36" s="500" t="s">
        <v>907</v>
      </c>
      <c r="D36" s="501" t="s">
        <v>688</v>
      </c>
      <c r="E36" s="502">
        <v>232799.42</v>
      </c>
      <c r="F36" s="502"/>
      <c r="G36" s="495">
        <f t="shared" si="0"/>
        <v>232799.42</v>
      </c>
      <c r="H36" s="496"/>
      <c r="I36" s="497"/>
      <c r="J36" s="498"/>
      <c r="K36" s="497"/>
      <c r="L36" s="497"/>
      <c r="M36" s="497"/>
      <c r="N36" s="1"/>
    </row>
    <row r="37" spans="1:14" ht="13.5" customHeight="1">
      <c r="A37" s="491" t="s">
        <v>894</v>
      </c>
      <c r="B37" s="492">
        <v>46265</v>
      </c>
      <c r="C37" s="493" t="s">
        <v>752</v>
      </c>
      <c r="D37" s="494" t="s">
        <v>900</v>
      </c>
      <c r="E37" s="495">
        <v>250000</v>
      </c>
      <c r="F37" s="495"/>
      <c r="G37" s="495">
        <f t="shared" si="0"/>
        <v>250000</v>
      </c>
      <c r="H37" s="496"/>
      <c r="I37" s="497"/>
      <c r="J37" s="498"/>
      <c r="K37" s="497"/>
      <c r="L37" s="497"/>
      <c r="M37" s="497"/>
      <c r="N37" s="1"/>
    </row>
    <row r="38" spans="1:14" ht="13.5" customHeight="1">
      <c r="A38" s="491" t="s">
        <v>894</v>
      </c>
      <c r="B38" s="492">
        <v>46295</v>
      </c>
      <c r="C38" s="493" t="s">
        <v>752</v>
      </c>
      <c r="D38" s="494">
        <v>381260</v>
      </c>
      <c r="E38" s="495">
        <v>500000</v>
      </c>
      <c r="F38" s="495"/>
      <c r="G38" s="495">
        <f t="shared" si="0"/>
        <v>500000</v>
      </c>
      <c r="H38" s="496"/>
      <c r="I38" s="497"/>
      <c r="J38" s="498"/>
      <c r="K38" s="497"/>
      <c r="L38" s="497"/>
      <c r="M38" s="497"/>
      <c r="N38" s="1"/>
    </row>
    <row r="39" spans="1:14" ht="13.5" customHeight="1">
      <c r="A39" s="491" t="s">
        <v>894</v>
      </c>
      <c r="B39" s="492">
        <v>46295</v>
      </c>
      <c r="C39" s="493" t="s">
        <v>897</v>
      </c>
      <c r="D39" s="494">
        <v>381262</v>
      </c>
      <c r="E39" s="495">
        <v>200000</v>
      </c>
      <c r="F39" s="495"/>
      <c r="G39" s="495">
        <f t="shared" si="0"/>
        <v>200000</v>
      </c>
      <c r="H39" s="496"/>
      <c r="I39" s="497"/>
      <c r="J39" s="498"/>
      <c r="K39" s="497"/>
      <c r="L39" s="497"/>
      <c r="M39" s="497"/>
      <c r="N39" s="1"/>
    </row>
    <row r="40" spans="1:14" ht="13.5" customHeight="1">
      <c r="A40" s="491" t="s">
        <v>894</v>
      </c>
      <c r="B40" s="492">
        <v>46326</v>
      </c>
      <c r="C40" s="493" t="s">
        <v>752</v>
      </c>
      <c r="D40" s="494">
        <v>381261</v>
      </c>
      <c r="E40" s="495">
        <v>250000</v>
      </c>
      <c r="F40" s="495"/>
      <c r="G40" s="495">
        <f t="shared" si="0"/>
        <v>250000</v>
      </c>
      <c r="H40" s="496"/>
      <c r="I40" s="497"/>
      <c r="J40" s="498"/>
      <c r="K40" s="497"/>
      <c r="L40" s="497"/>
      <c r="M40" s="497"/>
      <c r="N40" s="1"/>
    </row>
    <row r="41" spans="1:14" ht="13.5" customHeight="1">
      <c r="A41" s="491" t="s">
        <v>894</v>
      </c>
      <c r="B41" s="492">
        <v>46326</v>
      </c>
      <c r="C41" s="493" t="s">
        <v>898</v>
      </c>
      <c r="D41" s="494">
        <v>381263</v>
      </c>
      <c r="E41" s="495">
        <v>250000</v>
      </c>
      <c r="F41" s="495"/>
      <c r="G41" s="495">
        <f t="shared" si="0"/>
        <v>250000</v>
      </c>
      <c r="H41" s="496"/>
      <c r="I41" s="497"/>
      <c r="J41" s="498"/>
      <c r="K41" s="497"/>
      <c r="L41" s="497"/>
      <c r="M41" s="497"/>
      <c r="N41" s="1"/>
    </row>
    <row r="42" spans="1:14" ht="13.5" customHeight="1">
      <c r="A42" s="491" t="s">
        <v>894</v>
      </c>
      <c r="B42" s="492" t="s">
        <v>899</v>
      </c>
      <c r="C42" s="493" t="s">
        <v>898</v>
      </c>
      <c r="D42" s="494">
        <v>381263</v>
      </c>
      <c r="E42" s="495">
        <v>250000</v>
      </c>
      <c r="F42" s="495"/>
      <c r="G42" s="495">
        <f t="shared" si="0"/>
        <v>250000</v>
      </c>
      <c r="H42" s="496"/>
      <c r="I42" s="497"/>
      <c r="J42" s="498"/>
      <c r="K42" s="497"/>
      <c r="L42" s="497"/>
      <c r="M42" s="497"/>
      <c r="N42" s="1"/>
    </row>
    <row r="43" spans="1:14" ht="13.5" customHeight="1">
      <c r="A43" s="23" t="s">
        <v>15</v>
      </c>
      <c r="B43" s="23" t="s">
        <v>92</v>
      </c>
      <c r="C43" s="23" t="s">
        <v>93</v>
      </c>
      <c r="D43" s="456" t="s">
        <v>94</v>
      </c>
      <c r="E43" s="23" t="s">
        <v>28</v>
      </c>
      <c r="F43" s="23" t="s">
        <v>29</v>
      </c>
      <c r="G43" s="23" t="s">
        <v>23</v>
      </c>
      <c r="H43" s="84"/>
      <c r="I43" s="457" t="s">
        <v>30</v>
      </c>
      <c r="J43" s="457" t="s">
        <v>734</v>
      </c>
      <c r="K43" s="457" t="s">
        <v>29</v>
      </c>
      <c r="L43" s="457" t="s">
        <v>58</v>
      </c>
      <c r="M43" s="37"/>
      <c r="N43" s="1"/>
    </row>
    <row r="44" spans="1:14" ht="15.75" customHeight="1">
      <c r="A44" s="368"/>
      <c r="B44" s="368"/>
      <c r="C44" s="368"/>
      <c r="D44" s="458"/>
      <c r="E44" s="369">
        <f>SUM(E2:E43)</f>
        <v>9925666.6900000013</v>
      </c>
      <c r="F44" s="369">
        <f>SUM(F2:F43)</f>
        <v>4898080.99</v>
      </c>
      <c r="G44" s="369">
        <f>SUM(G2:G43)</f>
        <v>5027585.7</v>
      </c>
      <c r="H44" s="366"/>
      <c r="I44" s="362"/>
      <c r="J44" s="363">
        <f>SUBTOTAL(9,J2:J33)</f>
        <v>9305998.4400000013</v>
      </c>
      <c r="K44" s="363">
        <f>SUBTOTAL(9,K2:K33)</f>
        <v>4305410.34</v>
      </c>
      <c r="L44" s="363">
        <f>SUBTOTAL(9,L2:L32)</f>
        <v>5027585.7</v>
      </c>
      <c r="M44" s="362"/>
      <c r="N44" s="1"/>
    </row>
    <row r="45" spans="1:14" ht="15.75" customHeight="1">
      <c r="A45" s="367"/>
      <c r="B45" s="367"/>
      <c r="C45" s="367"/>
      <c r="D45" s="459"/>
      <c r="E45" s="367"/>
      <c r="F45" s="367"/>
      <c r="G45" s="367"/>
      <c r="H45" s="362"/>
      <c r="I45" s="364"/>
      <c r="J45" s="364"/>
      <c r="K45" s="362"/>
      <c r="L45" s="362"/>
      <c r="M45" s="362"/>
      <c r="N45" s="1"/>
    </row>
    <row r="46" spans="1:14" ht="13.5" customHeight="1">
      <c r="A46" s="365"/>
      <c r="B46" s="365"/>
      <c r="C46" s="365"/>
      <c r="D46" s="460"/>
      <c r="E46" s="365"/>
      <c r="F46" s="365"/>
      <c r="G46" s="365"/>
      <c r="H46" s="362"/>
      <c r="I46" s="362"/>
      <c r="J46" s="362"/>
      <c r="K46" s="362"/>
      <c r="L46" s="362"/>
      <c r="M46" s="362"/>
      <c r="N46" s="1"/>
    </row>
    <row r="47" spans="1:14" ht="15" customHeight="1">
      <c r="A47" s="1"/>
      <c r="B47" s="1"/>
      <c r="C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customHeight="1">
      <c r="A48" s="1"/>
      <c r="B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5.75" customHeight="1"/>
    <row r="57" ht="15.75" customHeight="1"/>
    <row r="58" ht="13.5" customHeight="1"/>
  </sheetData>
  <sortState xmlns:xlrd2="http://schemas.microsoft.com/office/spreadsheetml/2017/richdata2" ref="A1:N48">
    <sortCondition ref="B1:B48"/>
  </sortState>
  <phoneticPr fontId="14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showGridLines="0" workbookViewId="0">
      <selection activeCell="G19" sqref="G19"/>
    </sheetView>
  </sheetViews>
  <sheetFormatPr baseColWidth="10" defaultColWidth="8.6640625" defaultRowHeight="15" customHeight="1"/>
  <cols>
    <col min="1" max="1" width="10.6640625" style="1" customWidth="1"/>
    <col min="2" max="2" width="12.6640625" style="1" customWidth="1"/>
    <col min="3" max="3" width="31.1640625" style="1" bestFit="1" customWidth="1"/>
    <col min="4" max="4" width="16.1640625" style="1" customWidth="1"/>
    <col min="5" max="5" width="12.33203125" style="1" customWidth="1"/>
    <col min="6" max="6" width="18.6640625" style="1" customWidth="1"/>
    <col min="7" max="7" width="17.6640625" style="1" customWidth="1"/>
    <col min="8" max="8" width="17.5" style="1" customWidth="1"/>
    <col min="9" max="9" width="10.6640625" style="1" customWidth="1"/>
    <col min="10" max="10" width="10.5" style="1" customWidth="1"/>
    <col min="11" max="13" width="15.1640625" style="1" bestFit="1" customWidth="1"/>
    <col min="14" max="16" width="8.6640625" style="1"/>
    <col min="17" max="17" width="13.33203125" style="1" bestFit="1" customWidth="1"/>
    <col min="18" max="16384" width="8.6640625" style="1"/>
  </cols>
  <sheetData>
    <row r="1" spans="1:13" ht="13.5" customHeight="1">
      <c r="A1" s="26"/>
      <c r="B1" s="26"/>
      <c r="C1" s="26"/>
      <c r="D1" s="26"/>
      <c r="E1" s="26"/>
      <c r="F1" s="26"/>
      <c r="G1" s="26"/>
      <c r="H1" s="26"/>
      <c r="I1" s="21"/>
      <c r="J1" s="26"/>
      <c r="K1" s="26"/>
    </row>
    <row r="2" spans="1:13" ht="15.75" customHeight="1">
      <c r="A2" s="23" t="s">
        <v>15</v>
      </c>
      <c r="B2" s="23" t="s">
        <v>92</v>
      </c>
      <c r="C2" s="23" t="s">
        <v>93</v>
      </c>
      <c r="D2" s="23" t="s">
        <v>217</v>
      </c>
      <c r="E2" s="23" t="s">
        <v>22</v>
      </c>
      <c r="F2" s="23" t="s">
        <v>28</v>
      </c>
      <c r="G2" s="23" t="s">
        <v>29</v>
      </c>
      <c r="H2" s="23" t="s">
        <v>58</v>
      </c>
      <c r="I2" s="87"/>
      <c r="J2" s="23" t="s">
        <v>30</v>
      </c>
      <c r="K2" s="23" t="s">
        <v>28</v>
      </c>
      <c r="L2" s="23" t="s">
        <v>29</v>
      </c>
      <c r="M2" s="23" t="s">
        <v>58</v>
      </c>
    </row>
    <row r="3" spans="1:13" ht="13.5" customHeight="1">
      <c r="A3" s="62" t="s">
        <v>76</v>
      </c>
      <c r="B3" s="63">
        <v>45856</v>
      </c>
      <c r="C3" s="62" t="s">
        <v>218</v>
      </c>
      <c r="D3" s="88">
        <v>27170</v>
      </c>
      <c r="E3" s="89">
        <v>39.6</v>
      </c>
      <c r="F3" s="64">
        <f t="shared" ref="F3:G11" si="0">D3*E3</f>
        <v>1075932</v>
      </c>
      <c r="G3" s="64">
        <v>1075932</v>
      </c>
      <c r="H3" s="64">
        <f t="shared" ref="H3:H20" si="1">F3-G3</f>
        <v>0</v>
      </c>
      <c r="I3" s="90">
        <v>2025</v>
      </c>
      <c r="J3" s="91" t="s">
        <v>34</v>
      </c>
      <c r="K3" s="36">
        <v>0</v>
      </c>
      <c r="L3" s="36">
        <v>0</v>
      </c>
      <c r="M3" s="36">
        <v>0</v>
      </c>
    </row>
    <row r="4" spans="1:13" ht="13.5" customHeight="1">
      <c r="A4" s="62" t="s">
        <v>76</v>
      </c>
      <c r="B4" s="62" t="s">
        <v>219</v>
      </c>
      <c r="C4" s="62" t="s">
        <v>218</v>
      </c>
      <c r="D4" s="88">
        <v>21000</v>
      </c>
      <c r="E4" s="89">
        <v>39.6</v>
      </c>
      <c r="F4" s="64">
        <f t="shared" si="0"/>
        <v>831600</v>
      </c>
      <c r="G4" s="64">
        <v>831600</v>
      </c>
      <c r="H4" s="64">
        <f t="shared" si="1"/>
        <v>0</v>
      </c>
      <c r="I4" s="90">
        <v>2025</v>
      </c>
      <c r="J4" s="92" t="s">
        <v>8</v>
      </c>
      <c r="K4" s="40">
        <f>SUM(F3+F12)</f>
        <v>2075932</v>
      </c>
      <c r="L4" s="40">
        <f>SUM(G3+G12)</f>
        <v>2075932</v>
      </c>
      <c r="M4" s="40">
        <f>SUM(H3+H12)</f>
        <v>0</v>
      </c>
    </row>
    <row r="5" spans="1:13" ht="13.5" customHeight="1">
      <c r="A5" s="62" t="s">
        <v>76</v>
      </c>
      <c r="B5" s="63">
        <v>45991</v>
      </c>
      <c r="C5" s="62" t="s">
        <v>218</v>
      </c>
      <c r="D5" s="88">
        <v>40000</v>
      </c>
      <c r="E5" s="89">
        <v>42.4</v>
      </c>
      <c r="F5" s="64">
        <f t="shared" si="0"/>
        <v>1696000</v>
      </c>
      <c r="G5" s="64">
        <v>1696000</v>
      </c>
      <c r="H5" s="64">
        <f t="shared" si="1"/>
        <v>0</v>
      </c>
      <c r="I5" s="90">
        <v>2025</v>
      </c>
      <c r="J5" s="92" t="s">
        <v>9</v>
      </c>
      <c r="K5" s="40">
        <f>SUM(F4,F9,F13,F14)</f>
        <v>6831600</v>
      </c>
      <c r="L5" s="40">
        <f>SUM(G4,G9,G13,G14)</f>
        <v>6831600</v>
      </c>
      <c r="M5" s="40">
        <f>SUM(H4,H9,H13,H14)</f>
        <v>0</v>
      </c>
    </row>
    <row r="6" spans="1:13" ht="13.5" customHeight="1">
      <c r="A6" s="62" t="s">
        <v>76</v>
      </c>
      <c r="B6" s="63">
        <v>46011</v>
      </c>
      <c r="C6" s="62" t="s">
        <v>218</v>
      </c>
      <c r="D6" s="88">
        <v>44088</v>
      </c>
      <c r="E6" s="89">
        <v>42.7</v>
      </c>
      <c r="F6" s="64">
        <f t="shared" si="0"/>
        <v>1882557.6</v>
      </c>
      <c r="G6" s="64">
        <v>1882557.6</v>
      </c>
      <c r="H6" s="64">
        <f t="shared" si="1"/>
        <v>0</v>
      </c>
      <c r="I6" s="90">
        <v>2025</v>
      </c>
      <c r="J6" s="92" t="s">
        <v>10</v>
      </c>
      <c r="K6" s="40">
        <f t="shared" ref="K6:L6" si="2">SUM(F10)</f>
        <v>4000000</v>
      </c>
      <c r="L6" s="40">
        <f t="shared" si="2"/>
        <v>4000000</v>
      </c>
      <c r="M6" s="40">
        <f>SUM(H10)</f>
        <v>0</v>
      </c>
    </row>
    <row r="7" spans="1:13" ht="13.5" customHeight="1">
      <c r="A7" s="62"/>
      <c r="B7" s="62"/>
      <c r="C7" s="62"/>
      <c r="D7" s="88"/>
      <c r="E7" s="89"/>
      <c r="F7" s="64"/>
      <c r="G7" s="64"/>
      <c r="H7" s="64"/>
      <c r="I7" s="90">
        <v>2025</v>
      </c>
      <c r="J7" s="92" t="s">
        <v>11</v>
      </c>
      <c r="K7" s="40">
        <f t="shared" ref="K7:L7" si="3">SUM(F11)</f>
        <v>4000000</v>
      </c>
      <c r="L7" s="40">
        <f t="shared" si="3"/>
        <v>4000000</v>
      </c>
      <c r="M7" s="40">
        <f>SUM(H11)</f>
        <v>0</v>
      </c>
    </row>
    <row r="8" spans="1:13" ht="13.5" customHeight="1">
      <c r="A8" s="62"/>
      <c r="B8" s="62"/>
      <c r="C8" s="62"/>
      <c r="D8" s="88"/>
      <c r="E8" s="89"/>
      <c r="F8" s="64"/>
      <c r="G8" s="64"/>
      <c r="H8" s="64"/>
      <c r="I8" s="90">
        <v>2025</v>
      </c>
      <c r="J8" s="92" t="s">
        <v>12</v>
      </c>
      <c r="K8" s="40">
        <f t="shared" ref="K8:L9" si="4">SUM(F5)</f>
        <v>1696000</v>
      </c>
      <c r="L8" s="40">
        <f t="shared" si="4"/>
        <v>1696000</v>
      </c>
      <c r="M8" s="40">
        <f>SUM(H5)</f>
        <v>0</v>
      </c>
    </row>
    <row r="9" spans="1:13" ht="13.5" customHeight="1">
      <c r="A9" s="62" t="s">
        <v>31</v>
      </c>
      <c r="B9" s="63">
        <v>45889</v>
      </c>
      <c r="C9" s="62" t="s">
        <v>220</v>
      </c>
      <c r="D9" s="89">
        <v>4000000</v>
      </c>
      <c r="E9" s="89">
        <v>1</v>
      </c>
      <c r="F9" s="64">
        <f t="shared" si="0"/>
        <v>4000000</v>
      </c>
      <c r="G9" s="64">
        <f t="shared" si="0"/>
        <v>4000000</v>
      </c>
      <c r="H9" s="64">
        <f t="shared" si="1"/>
        <v>0</v>
      </c>
      <c r="I9" s="90">
        <v>2025</v>
      </c>
      <c r="J9" s="92" t="s">
        <v>42</v>
      </c>
      <c r="K9" s="40">
        <f>SUM(F6)</f>
        <v>1882557.6</v>
      </c>
      <c r="L9" s="40">
        <f t="shared" si="4"/>
        <v>1882557.6</v>
      </c>
      <c r="M9" s="40">
        <f t="shared" ref="M9" si="5">SUM(H6)</f>
        <v>0</v>
      </c>
    </row>
    <row r="10" spans="1:13" ht="13.5" customHeight="1">
      <c r="A10" s="62" t="s">
        <v>31</v>
      </c>
      <c r="B10" s="63">
        <v>45920</v>
      </c>
      <c r="C10" s="62" t="s">
        <v>221</v>
      </c>
      <c r="D10" s="89">
        <v>4000000</v>
      </c>
      <c r="E10" s="89">
        <v>1</v>
      </c>
      <c r="F10" s="64">
        <f t="shared" si="0"/>
        <v>4000000</v>
      </c>
      <c r="G10" s="64">
        <f t="shared" si="0"/>
        <v>4000000</v>
      </c>
      <c r="H10" s="64">
        <f t="shared" si="1"/>
        <v>0</v>
      </c>
      <c r="I10" s="93">
        <v>2026</v>
      </c>
      <c r="J10" s="37" t="s">
        <v>44</v>
      </c>
      <c r="K10" s="40">
        <f>SUM(F16)</f>
        <v>3300000</v>
      </c>
      <c r="L10" s="40">
        <f t="shared" ref="L10:M10" si="6">SUM(G16)</f>
        <v>3300000</v>
      </c>
      <c r="M10" s="40">
        <f t="shared" si="6"/>
        <v>0</v>
      </c>
    </row>
    <row r="11" spans="1:13" ht="13.5" customHeight="1">
      <c r="A11" s="62" t="s">
        <v>31</v>
      </c>
      <c r="B11" s="63">
        <v>45950</v>
      </c>
      <c r="C11" s="62" t="s">
        <v>222</v>
      </c>
      <c r="D11" s="89">
        <v>4000000</v>
      </c>
      <c r="E11" s="89">
        <v>1</v>
      </c>
      <c r="F11" s="64">
        <f t="shared" si="0"/>
        <v>4000000</v>
      </c>
      <c r="G11" s="64">
        <f t="shared" si="0"/>
        <v>4000000</v>
      </c>
      <c r="H11" s="64">
        <f t="shared" si="1"/>
        <v>0</v>
      </c>
      <c r="I11" s="93">
        <v>2026</v>
      </c>
      <c r="J11" s="37" t="s">
        <v>46</v>
      </c>
      <c r="K11" s="40">
        <f t="shared" ref="K11:K16" si="7">SUM(F17)</f>
        <v>3300000</v>
      </c>
      <c r="L11" s="40">
        <f t="shared" ref="L11:L16" si="8">SUM(G17)</f>
        <v>3300000</v>
      </c>
      <c r="M11" s="40">
        <f t="shared" ref="M11:M16" si="9">SUM(H17)</f>
        <v>0</v>
      </c>
    </row>
    <row r="12" spans="1:13" ht="13.5" customHeight="1">
      <c r="A12" s="62" t="s">
        <v>31</v>
      </c>
      <c r="B12" s="63">
        <v>45862</v>
      </c>
      <c r="C12" s="62" t="s">
        <v>223</v>
      </c>
      <c r="D12" s="89">
        <v>1000000</v>
      </c>
      <c r="E12" s="89">
        <v>1</v>
      </c>
      <c r="F12" s="64">
        <f t="shared" ref="F12:G14" si="10">D12*E12</f>
        <v>1000000</v>
      </c>
      <c r="G12" s="64">
        <f t="shared" si="10"/>
        <v>1000000</v>
      </c>
      <c r="H12" s="64">
        <f>F12-G12</f>
        <v>0</v>
      </c>
      <c r="I12" s="93">
        <v>2026</v>
      </c>
      <c r="J12" s="37" t="s">
        <v>48</v>
      </c>
      <c r="K12" s="40">
        <f t="shared" si="7"/>
        <v>3300000</v>
      </c>
      <c r="L12" s="40">
        <f t="shared" si="8"/>
        <v>3300000</v>
      </c>
      <c r="M12" s="40">
        <f t="shared" si="9"/>
        <v>0</v>
      </c>
    </row>
    <row r="13" spans="1:13" ht="13.5" customHeight="1">
      <c r="A13" s="62" t="s">
        <v>31</v>
      </c>
      <c r="B13" s="63">
        <v>45884</v>
      </c>
      <c r="C13" s="62" t="s">
        <v>224</v>
      </c>
      <c r="D13" s="89">
        <v>1000000</v>
      </c>
      <c r="E13" s="89">
        <v>1</v>
      </c>
      <c r="F13" s="64">
        <f t="shared" si="10"/>
        <v>1000000</v>
      </c>
      <c r="G13" s="64">
        <f t="shared" si="10"/>
        <v>1000000</v>
      </c>
      <c r="H13" s="64">
        <f>F13-G13</f>
        <v>0</v>
      </c>
      <c r="I13" s="93">
        <v>2026</v>
      </c>
      <c r="J13" s="37" t="s">
        <v>95</v>
      </c>
      <c r="K13" s="40">
        <f t="shared" si="7"/>
        <v>3300000</v>
      </c>
      <c r="L13" s="40">
        <f t="shared" si="8"/>
        <v>0</v>
      </c>
      <c r="M13" s="40">
        <f t="shared" si="9"/>
        <v>3300000</v>
      </c>
    </row>
    <row r="14" spans="1:13" ht="13.5" customHeight="1">
      <c r="A14" s="62" t="s">
        <v>31</v>
      </c>
      <c r="B14" s="63">
        <v>45894</v>
      </c>
      <c r="C14" s="62" t="s">
        <v>225</v>
      </c>
      <c r="D14" s="89">
        <v>1000000</v>
      </c>
      <c r="E14" s="89">
        <v>1</v>
      </c>
      <c r="F14" s="64">
        <f t="shared" si="10"/>
        <v>1000000</v>
      </c>
      <c r="G14" s="64">
        <f t="shared" si="10"/>
        <v>1000000</v>
      </c>
      <c r="H14" s="64">
        <f>F14-G14</f>
        <v>0</v>
      </c>
      <c r="I14" s="93">
        <v>2026</v>
      </c>
      <c r="J14" s="37" t="s">
        <v>96</v>
      </c>
      <c r="K14" s="40">
        <f t="shared" si="7"/>
        <v>3300000</v>
      </c>
      <c r="L14" s="40">
        <f t="shared" si="8"/>
        <v>0</v>
      </c>
      <c r="M14" s="40">
        <f t="shared" si="9"/>
        <v>3300000</v>
      </c>
    </row>
    <row r="15" spans="1:13" ht="13.5" customHeight="1">
      <c r="A15" s="62"/>
      <c r="B15" s="63"/>
      <c r="C15" s="62"/>
      <c r="D15" s="89"/>
      <c r="E15" s="89"/>
      <c r="F15" s="64"/>
      <c r="G15" s="64"/>
      <c r="H15" s="64"/>
      <c r="I15" s="93">
        <v>2026</v>
      </c>
      <c r="J15" s="37" t="s">
        <v>34</v>
      </c>
      <c r="K15" s="40">
        <f t="shared" si="7"/>
        <v>0</v>
      </c>
      <c r="L15" s="40">
        <f t="shared" si="8"/>
        <v>0</v>
      </c>
      <c r="M15" s="40">
        <f t="shared" si="9"/>
        <v>0</v>
      </c>
    </row>
    <row r="16" spans="1:13" ht="13.5" customHeight="1">
      <c r="A16" s="62" t="s">
        <v>31</v>
      </c>
      <c r="B16" s="63">
        <v>46042</v>
      </c>
      <c r="C16" s="62" t="s">
        <v>349</v>
      </c>
      <c r="D16" s="64">
        <v>3300000</v>
      </c>
      <c r="E16" s="89">
        <v>1</v>
      </c>
      <c r="F16" s="64">
        <v>3300000</v>
      </c>
      <c r="G16" s="64">
        <v>3300000</v>
      </c>
      <c r="H16" s="64">
        <f t="shared" si="1"/>
        <v>0</v>
      </c>
      <c r="I16" s="93">
        <v>2026</v>
      </c>
      <c r="J16" s="37" t="s">
        <v>8</v>
      </c>
      <c r="K16" s="40">
        <f t="shared" si="7"/>
        <v>0</v>
      </c>
      <c r="L16" s="40">
        <f t="shared" si="8"/>
        <v>0</v>
      </c>
      <c r="M16" s="40">
        <f t="shared" si="9"/>
        <v>0</v>
      </c>
    </row>
    <row r="17" spans="1:17" ht="13.5" customHeight="1">
      <c r="A17" s="62" t="s">
        <v>31</v>
      </c>
      <c r="B17" s="63">
        <v>46073</v>
      </c>
      <c r="C17" s="62" t="s">
        <v>350</v>
      </c>
      <c r="D17" s="64">
        <v>3300000</v>
      </c>
      <c r="E17" s="89">
        <v>1</v>
      </c>
      <c r="F17" s="64">
        <v>3300000</v>
      </c>
      <c r="G17" s="64">
        <v>3300000</v>
      </c>
      <c r="H17" s="64">
        <f t="shared" si="1"/>
        <v>0</v>
      </c>
      <c r="I17" s="13"/>
      <c r="J17" s="27"/>
      <c r="K17" s="40"/>
      <c r="L17" s="40"/>
      <c r="M17" s="40"/>
      <c r="Q17" s="178">
        <f>SUM(D16:D20)/6</f>
        <v>2750000</v>
      </c>
    </row>
    <row r="18" spans="1:17" ht="13.5" customHeight="1">
      <c r="A18" s="62" t="s">
        <v>31</v>
      </c>
      <c r="B18" s="63">
        <v>46101</v>
      </c>
      <c r="C18" s="62" t="s">
        <v>351</v>
      </c>
      <c r="D18" s="64">
        <v>3300000</v>
      </c>
      <c r="E18" s="89">
        <v>1</v>
      </c>
      <c r="F18" s="64">
        <v>3300000</v>
      </c>
      <c r="G18" s="64">
        <v>3300000</v>
      </c>
      <c r="H18" s="64">
        <f t="shared" si="1"/>
        <v>0</v>
      </c>
      <c r="I18" s="13"/>
      <c r="J18" s="27"/>
      <c r="K18" s="40"/>
      <c r="L18" s="40"/>
      <c r="M18" s="40"/>
    </row>
    <row r="19" spans="1:17" ht="13.5" customHeight="1">
      <c r="A19" s="62" t="s">
        <v>31</v>
      </c>
      <c r="B19" s="63">
        <v>46132</v>
      </c>
      <c r="C19" s="62" t="s">
        <v>347</v>
      </c>
      <c r="D19" s="64">
        <v>3300000</v>
      </c>
      <c r="E19" s="89">
        <v>1</v>
      </c>
      <c r="F19" s="64">
        <v>3300000</v>
      </c>
      <c r="G19" s="64">
        <v>0</v>
      </c>
      <c r="H19" s="64">
        <f t="shared" si="1"/>
        <v>3300000</v>
      </c>
      <c r="I19" s="13"/>
      <c r="J19" s="27"/>
      <c r="K19" s="40"/>
      <c r="L19" s="40"/>
      <c r="M19" s="40"/>
    </row>
    <row r="20" spans="1:17" ht="13.5" customHeight="1">
      <c r="A20" s="62" t="s">
        <v>31</v>
      </c>
      <c r="B20" s="63">
        <v>46162</v>
      </c>
      <c r="C20" s="62" t="s">
        <v>348</v>
      </c>
      <c r="D20" s="64">
        <v>3300000</v>
      </c>
      <c r="E20" s="89">
        <v>1</v>
      </c>
      <c r="F20" s="64">
        <v>3300000</v>
      </c>
      <c r="G20" s="64">
        <v>0</v>
      </c>
      <c r="H20" s="64">
        <f t="shared" si="1"/>
        <v>3300000</v>
      </c>
      <c r="I20" s="21"/>
      <c r="J20" s="27"/>
      <c r="K20" s="27"/>
      <c r="L20" s="27"/>
      <c r="M20" s="27"/>
    </row>
    <row r="21" spans="1:17" ht="13.5" customHeight="1">
      <c r="A21" s="62"/>
      <c r="B21" s="63"/>
      <c r="C21" s="62"/>
      <c r="D21" s="64"/>
      <c r="E21" s="89"/>
      <c r="F21" s="64"/>
      <c r="G21" s="64"/>
      <c r="H21" s="64"/>
      <c r="I21" s="21"/>
      <c r="J21" s="27"/>
      <c r="K21" s="27"/>
      <c r="L21" s="27"/>
      <c r="M21" s="27"/>
    </row>
    <row r="22" spans="1:17" ht="13.5" customHeight="1">
      <c r="A22" s="33"/>
      <c r="B22" s="33"/>
      <c r="C22" s="33"/>
      <c r="D22" s="33"/>
      <c r="E22" s="33"/>
      <c r="F22" s="33"/>
      <c r="G22" s="33"/>
      <c r="H22" s="33"/>
      <c r="I22" s="21"/>
      <c r="J22" s="27"/>
      <c r="K22" s="27"/>
      <c r="L22" s="27"/>
      <c r="M22" s="27"/>
    </row>
    <row r="23" spans="1:17" ht="13.5" customHeight="1">
      <c r="A23" s="27"/>
      <c r="B23" s="27"/>
      <c r="C23" s="27"/>
      <c r="D23" s="27"/>
      <c r="E23" s="27"/>
      <c r="F23" s="27"/>
      <c r="G23" s="27"/>
      <c r="H23" s="27"/>
      <c r="I23" s="21"/>
      <c r="J23" s="27"/>
      <c r="K23" s="27"/>
      <c r="L23" s="27"/>
      <c r="M23" s="27"/>
    </row>
    <row r="24" spans="1:17" ht="15.75" customHeight="1">
      <c r="A24" s="27"/>
      <c r="B24" s="27"/>
      <c r="C24" s="27"/>
      <c r="D24" s="27"/>
      <c r="E24" s="27"/>
      <c r="F24" s="27"/>
      <c r="G24" s="27"/>
      <c r="H24" s="27"/>
      <c r="I24" s="21"/>
      <c r="J24" s="27"/>
      <c r="K24" s="40">
        <f t="shared" ref="K24:L24" si="11">SUBTOTAL(9,K3:K18)</f>
        <v>36986089.600000001</v>
      </c>
      <c r="L24" s="40">
        <f t="shared" si="11"/>
        <v>30386089.600000001</v>
      </c>
      <c r="M24" s="40">
        <f>SUBTOTAL(9,M3:M18)</f>
        <v>6600000</v>
      </c>
    </row>
    <row r="25" spans="1:17" ht="15" customHeight="1">
      <c r="A25" s="27"/>
      <c r="B25" s="27"/>
      <c r="C25" s="27"/>
      <c r="D25" s="27"/>
      <c r="E25" s="27"/>
      <c r="F25" s="27"/>
      <c r="G25" s="27"/>
      <c r="H25" s="27"/>
    </row>
    <row r="26" spans="1:17" ht="15" customHeight="1">
      <c r="A26" s="27"/>
      <c r="B26" s="27"/>
      <c r="C26" s="27"/>
      <c r="D26" s="27"/>
      <c r="E26" s="27"/>
      <c r="F26" s="94">
        <f>SUM(F3:F25)</f>
        <v>36986089.600000001</v>
      </c>
      <c r="G26" s="94">
        <f>SUM(G3:G25)</f>
        <v>30386089.600000001</v>
      </c>
      <c r="H26" s="94">
        <f>SUM(H3:H25)</f>
        <v>6600000</v>
      </c>
    </row>
  </sheetData>
  <phoneticPr fontId="15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11F8-15FA-4CE7-9248-4AD74DCCD703}">
  <sheetPr>
    <tabColor theme="8" tint="-0.249977111117893"/>
  </sheetPr>
  <dimension ref="A1:J591"/>
  <sheetViews>
    <sheetView tabSelected="1" zoomScale="90" zoomScaleNormal="90" workbookViewId="0">
      <selection activeCell="I10" sqref="I10"/>
    </sheetView>
  </sheetViews>
  <sheetFormatPr baseColWidth="10" defaultColWidth="9.1640625" defaultRowHeight="18"/>
  <cols>
    <col min="1" max="1" width="15.5" style="187" bestFit="1" customWidth="1"/>
    <col min="2" max="2" width="15.5" style="252" bestFit="1" customWidth="1"/>
    <col min="3" max="3" width="43.6640625" style="187" customWidth="1"/>
    <col min="4" max="4" width="21.1640625" style="187" customWidth="1"/>
    <col min="5" max="5" width="22.5" style="399" customWidth="1"/>
    <col min="6" max="6" width="23.33203125" style="187" customWidth="1"/>
    <col min="7" max="7" width="26.33203125" style="187" customWidth="1"/>
    <col min="8" max="8" width="19.5" style="187" customWidth="1"/>
    <col min="9" max="9" width="19" style="187" customWidth="1"/>
    <col min="10" max="10" width="23.83203125" style="187" customWidth="1"/>
    <col min="11" max="16384" width="9.1640625" style="187"/>
  </cols>
  <sheetData>
    <row r="1" spans="1:10" ht="16" customHeight="1"/>
    <row r="2" spans="1:10" ht="24" customHeight="1"/>
    <row r="3" spans="1:10" ht="22.5" customHeight="1">
      <c r="A3" s="237" t="s">
        <v>24</v>
      </c>
      <c r="B3" s="238" t="s">
        <v>363</v>
      </c>
      <c r="C3" s="239" t="s">
        <v>364</v>
      </c>
      <c r="D3" s="240" t="s">
        <v>365</v>
      </c>
      <c r="E3" s="376" t="s">
        <v>366</v>
      </c>
      <c r="F3" s="240" t="s">
        <v>398</v>
      </c>
      <c r="G3" s="240" t="s">
        <v>367</v>
      </c>
      <c r="H3" s="241" t="s">
        <v>27</v>
      </c>
      <c r="I3" s="242" t="s">
        <v>320</v>
      </c>
      <c r="J3" s="243">
        <f ca="1">G41</f>
        <v>0</v>
      </c>
    </row>
    <row r="4" spans="1:10" ht="17.75" customHeight="1">
      <c r="A4" s="350">
        <v>46113</v>
      </c>
      <c r="B4" s="344" t="s">
        <v>450</v>
      </c>
      <c r="C4" s="345" t="s">
        <v>971</v>
      </c>
      <c r="D4" s="346"/>
      <c r="E4" s="377">
        <v>50000</v>
      </c>
      <c r="F4" s="435">
        <v>50000</v>
      </c>
      <c r="G4" s="348">
        <f ca="1">D4+G4+F4-D4</f>
        <v>0</v>
      </c>
      <c r="H4" s="349"/>
      <c r="I4" s="252"/>
      <c r="J4" s="252"/>
    </row>
    <row r="5" spans="1:10" ht="17.75" customHeight="1">
      <c r="A5" s="350">
        <v>46113</v>
      </c>
      <c r="B5" s="344" t="s">
        <v>926</v>
      </c>
      <c r="C5" s="345" t="s">
        <v>921</v>
      </c>
      <c r="D5" s="346"/>
      <c r="E5" s="377">
        <v>420</v>
      </c>
      <c r="F5" s="357">
        <v>420</v>
      </c>
      <c r="G5" s="348">
        <f ca="1">G5+F5-D5</f>
        <v>0</v>
      </c>
      <c r="H5" s="349"/>
      <c r="I5" s="252"/>
      <c r="J5" s="252"/>
    </row>
    <row r="6" spans="1:10" ht="17.75" customHeight="1">
      <c r="A6" s="350">
        <v>46113</v>
      </c>
      <c r="B6" s="344" t="s">
        <v>926</v>
      </c>
      <c r="C6" s="345" t="s">
        <v>922</v>
      </c>
      <c r="D6" s="346"/>
      <c r="E6" s="377">
        <v>850</v>
      </c>
      <c r="F6" s="357">
        <v>850</v>
      </c>
      <c r="G6" s="348">
        <f ca="1">G6+F6-D6</f>
        <v>0</v>
      </c>
      <c r="H6" s="349"/>
      <c r="I6" s="292"/>
      <c r="J6" s="252"/>
    </row>
    <row r="7" spans="1:10" ht="17.75" customHeight="1">
      <c r="A7" s="350">
        <v>46113</v>
      </c>
      <c r="B7" s="344" t="s">
        <v>926</v>
      </c>
      <c r="C7" s="345" t="s">
        <v>923</v>
      </c>
      <c r="D7" s="346"/>
      <c r="E7" s="377">
        <v>3300</v>
      </c>
      <c r="F7" s="357">
        <v>3300</v>
      </c>
      <c r="G7" s="348">
        <f ca="1">G7+F7-D7</f>
        <v>0</v>
      </c>
      <c r="H7" s="349"/>
      <c r="I7" s="295"/>
      <c r="J7" s="252"/>
    </row>
    <row r="8" spans="1:10" ht="17.75" customHeight="1">
      <c r="A8" s="350">
        <v>46113</v>
      </c>
      <c r="B8" s="344" t="s">
        <v>926</v>
      </c>
      <c r="C8" s="345" t="s">
        <v>924</v>
      </c>
      <c r="D8" s="346"/>
      <c r="E8" s="377">
        <v>14500</v>
      </c>
      <c r="F8" s="357">
        <v>14500</v>
      </c>
      <c r="G8" s="348">
        <f ca="1">G8+F8-D8</f>
        <v>0</v>
      </c>
      <c r="H8" s="358"/>
      <c r="I8" s="252"/>
      <c r="J8" s="252"/>
    </row>
    <row r="9" spans="1:10" ht="17.75" customHeight="1">
      <c r="A9" s="350">
        <v>46113</v>
      </c>
      <c r="B9" s="344" t="s">
        <v>926</v>
      </c>
      <c r="C9" s="345" t="s">
        <v>925</v>
      </c>
      <c r="D9" s="346"/>
      <c r="E9" s="377">
        <v>10000</v>
      </c>
      <c r="F9" s="357">
        <v>10000</v>
      </c>
      <c r="G9" s="348">
        <f ca="1">G9+F9-D9</f>
        <v>0</v>
      </c>
      <c r="H9" s="349"/>
      <c r="I9" s="252"/>
      <c r="J9" s="252"/>
    </row>
    <row r="10" spans="1:10" ht="17.75" customHeight="1">
      <c r="A10" s="350">
        <v>46114</v>
      </c>
      <c r="B10" s="344" t="s">
        <v>254</v>
      </c>
      <c r="C10" s="345" t="s">
        <v>797</v>
      </c>
      <c r="D10" s="346"/>
      <c r="E10" s="377">
        <v>192000</v>
      </c>
      <c r="F10" s="357">
        <v>192000</v>
      </c>
      <c r="G10" s="348">
        <f ca="1">G10+F10-D10</f>
        <v>0</v>
      </c>
      <c r="H10" s="349"/>
      <c r="I10" s="252"/>
      <c r="J10" s="252"/>
    </row>
    <row r="11" spans="1:10" ht="17.75" customHeight="1">
      <c r="A11" s="350">
        <v>46114</v>
      </c>
      <c r="B11" s="344" t="s">
        <v>625</v>
      </c>
      <c r="C11" s="345" t="s">
        <v>914</v>
      </c>
      <c r="D11" s="346"/>
      <c r="E11" s="377">
        <v>1320000</v>
      </c>
      <c r="F11" s="357">
        <v>1320000</v>
      </c>
      <c r="G11" s="348">
        <f ca="1">G10+#REF!-D11</f>
        <v>0</v>
      </c>
      <c r="H11" s="360"/>
      <c r="I11" s="252"/>
      <c r="J11" s="252"/>
    </row>
    <row r="12" spans="1:10" ht="17.75" customHeight="1">
      <c r="A12" s="350">
        <v>46114</v>
      </c>
      <c r="B12" s="344" t="s">
        <v>450</v>
      </c>
      <c r="C12" s="345" t="s">
        <v>927</v>
      </c>
      <c r="D12" s="346"/>
      <c r="E12" s="377">
        <v>5150</v>
      </c>
      <c r="F12" s="357">
        <v>5150</v>
      </c>
      <c r="G12" s="348">
        <f ca="1">G11+F12-D12</f>
        <v>0</v>
      </c>
      <c r="H12" s="349"/>
      <c r="I12" s="252"/>
      <c r="J12" s="252"/>
    </row>
    <row r="13" spans="1:10" ht="17.75" customHeight="1">
      <c r="A13" s="350">
        <v>46114</v>
      </c>
      <c r="B13" s="344" t="s">
        <v>450</v>
      </c>
      <c r="C13" s="345" t="s">
        <v>928</v>
      </c>
      <c r="D13" s="346"/>
      <c r="E13" s="377">
        <v>40080</v>
      </c>
      <c r="F13" s="357">
        <v>40080</v>
      </c>
      <c r="G13" s="348">
        <f ca="1">G12+F13-D13</f>
        <v>0</v>
      </c>
      <c r="H13" s="359"/>
      <c r="I13" s="252"/>
      <c r="J13" s="252"/>
    </row>
    <row r="14" spans="1:10" ht="17.75" customHeight="1">
      <c r="A14" s="350">
        <v>46114</v>
      </c>
      <c r="B14" s="344" t="s">
        <v>643</v>
      </c>
      <c r="C14" s="345" t="s">
        <v>931</v>
      </c>
      <c r="D14" s="346"/>
      <c r="E14" s="377">
        <v>15600</v>
      </c>
      <c r="F14" s="357">
        <v>15600</v>
      </c>
      <c r="G14" s="348">
        <f ca="1">G13+F14-D14</f>
        <v>0</v>
      </c>
      <c r="H14" s="349"/>
      <c r="I14" s="252"/>
      <c r="J14" s="252"/>
    </row>
    <row r="15" spans="1:10" ht="17.75" customHeight="1">
      <c r="A15" s="350">
        <v>46115</v>
      </c>
      <c r="B15" s="344" t="s">
        <v>288</v>
      </c>
      <c r="C15" s="345" t="s">
        <v>932</v>
      </c>
      <c r="D15" s="346"/>
      <c r="E15" s="377">
        <v>285000</v>
      </c>
      <c r="F15" s="357">
        <v>285000</v>
      </c>
      <c r="G15" s="348">
        <f ca="1">G14+F15-D15</f>
        <v>0</v>
      </c>
      <c r="H15" s="349"/>
      <c r="I15" s="252"/>
      <c r="J15" s="252"/>
    </row>
    <row r="16" spans="1:10" ht="17.75" customHeight="1">
      <c r="A16" s="350">
        <v>46115</v>
      </c>
      <c r="B16" s="344" t="s">
        <v>806</v>
      </c>
      <c r="C16" s="345" t="s">
        <v>399</v>
      </c>
      <c r="D16" s="346"/>
      <c r="E16" s="377">
        <v>220000</v>
      </c>
      <c r="F16" s="357">
        <v>0</v>
      </c>
      <c r="G16" s="348">
        <f ca="1">G15+F16-D16</f>
        <v>0</v>
      </c>
      <c r="H16" s="349"/>
      <c r="I16" s="252"/>
      <c r="J16" s="252"/>
    </row>
    <row r="17" spans="1:10" ht="17.75" customHeight="1">
      <c r="A17" s="350">
        <v>46115</v>
      </c>
      <c r="B17" s="344" t="s">
        <v>806</v>
      </c>
      <c r="C17" s="345" t="s">
        <v>934</v>
      </c>
      <c r="D17" s="346"/>
      <c r="E17" s="377">
        <v>253000</v>
      </c>
      <c r="F17" s="357">
        <v>253000</v>
      </c>
      <c r="G17" s="348">
        <f ca="1">G16+F17-D17</f>
        <v>0</v>
      </c>
      <c r="H17" s="349"/>
      <c r="I17" s="252"/>
      <c r="J17" s="252"/>
    </row>
    <row r="18" spans="1:10" ht="17.75" customHeight="1">
      <c r="A18" s="350">
        <v>46115</v>
      </c>
      <c r="B18" s="344" t="s">
        <v>806</v>
      </c>
      <c r="C18" s="345" t="s">
        <v>935</v>
      </c>
      <c r="D18" s="346"/>
      <c r="E18" s="377">
        <v>380000</v>
      </c>
      <c r="F18" s="357">
        <v>0</v>
      </c>
      <c r="G18" s="348">
        <f ca="1">G17+F18-D18</f>
        <v>0</v>
      </c>
      <c r="H18" s="349"/>
      <c r="I18" s="252"/>
      <c r="J18" s="252"/>
    </row>
    <row r="19" spans="1:10" ht="17.75" customHeight="1">
      <c r="A19" s="350">
        <v>46115</v>
      </c>
      <c r="B19" s="344" t="s">
        <v>643</v>
      </c>
      <c r="C19" s="345" t="s">
        <v>936</v>
      </c>
      <c r="D19" s="346"/>
      <c r="E19" s="377">
        <v>27000</v>
      </c>
      <c r="F19" s="357">
        <v>27000</v>
      </c>
      <c r="G19" s="348">
        <f ca="1">G18+F19-D19</f>
        <v>0</v>
      </c>
      <c r="H19" s="349"/>
      <c r="I19" s="252"/>
      <c r="J19" s="252"/>
    </row>
    <row r="20" spans="1:10" ht="17.75" customHeight="1">
      <c r="A20" s="350">
        <v>46115</v>
      </c>
      <c r="B20" s="344" t="s">
        <v>937</v>
      </c>
      <c r="C20" s="345" t="s">
        <v>938</v>
      </c>
      <c r="D20" s="346"/>
      <c r="E20" s="377">
        <v>30000</v>
      </c>
      <c r="F20" s="357">
        <v>30000</v>
      </c>
      <c r="G20" s="348">
        <f ca="1">G19+F20-D20</f>
        <v>0</v>
      </c>
      <c r="H20" s="358"/>
      <c r="I20" s="252"/>
      <c r="J20" s="252"/>
    </row>
    <row r="21" spans="1:10" ht="17.75" customHeight="1">
      <c r="A21" s="350">
        <v>46115</v>
      </c>
      <c r="B21" s="344" t="s">
        <v>639</v>
      </c>
      <c r="C21" s="374" t="s">
        <v>939</v>
      </c>
      <c r="D21" s="346">
        <v>1150000</v>
      </c>
      <c r="E21" s="377">
        <v>0</v>
      </c>
      <c r="F21" s="357">
        <v>0</v>
      </c>
      <c r="G21" s="348">
        <f ca="1">G20+F21-D21</f>
        <v>0</v>
      </c>
      <c r="H21" s="358"/>
      <c r="I21" s="252"/>
      <c r="J21" s="252"/>
    </row>
    <row r="22" spans="1:10" ht="17.75" customHeight="1">
      <c r="A22" s="350">
        <v>46115</v>
      </c>
      <c r="B22" s="344" t="s">
        <v>450</v>
      </c>
      <c r="C22" s="345" t="s">
        <v>940</v>
      </c>
      <c r="D22" s="346"/>
      <c r="E22" s="377">
        <v>36300</v>
      </c>
      <c r="F22" s="404">
        <v>36300</v>
      </c>
      <c r="G22" s="348">
        <f ca="1">G21+F22-D22</f>
        <v>0</v>
      </c>
      <c r="H22" s="349"/>
      <c r="I22" s="252"/>
      <c r="J22" s="252"/>
    </row>
    <row r="23" spans="1:10" ht="17.75" customHeight="1">
      <c r="A23" s="350">
        <v>46118</v>
      </c>
      <c r="B23" s="344" t="s">
        <v>639</v>
      </c>
      <c r="C23" s="374" t="s">
        <v>939</v>
      </c>
      <c r="D23" s="346">
        <v>684263.36</v>
      </c>
      <c r="E23" s="377"/>
      <c r="F23" s="357"/>
      <c r="G23" s="348">
        <f ca="1">G23+F23-D23</f>
        <v>0</v>
      </c>
      <c r="H23" s="349"/>
      <c r="I23" s="252"/>
      <c r="J23" s="252"/>
    </row>
    <row r="24" spans="1:10" ht="17.75" customHeight="1">
      <c r="A24" s="350">
        <v>46118</v>
      </c>
      <c r="B24" s="344" t="s">
        <v>450</v>
      </c>
      <c r="C24" s="345" t="s">
        <v>941</v>
      </c>
      <c r="D24" s="346" t="s">
        <v>464</v>
      </c>
      <c r="E24" s="377">
        <v>9000</v>
      </c>
      <c r="F24" s="357">
        <v>9000</v>
      </c>
      <c r="G24" s="348">
        <f ca="1">G24+F24-D24</f>
        <v>0</v>
      </c>
      <c r="H24" s="349"/>
      <c r="I24" s="252"/>
      <c r="J24" s="252"/>
    </row>
    <row r="25" spans="1:10" ht="17.75" customHeight="1">
      <c r="A25" s="350">
        <v>46118</v>
      </c>
      <c r="B25" s="344" t="s">
        <v>943</v>
      </c>
      <c r="C25" s="345" t="s">
        <v>944</v>
      </c>
      <c r="D25" s="346"/>
      <c r="E25" s="377">
        <v>25000</v>
      </c>
      <c r="F25" s="357">
        <v>25000</v>
      </c>
      <c r="G25" s="348">
        <f ca="1">G24+F25-D25</f>
        <v>0</v>
      </c>
      <c r="H25" s="349"/>
      <c r="I25" s="252"/>
      <c r="J25" s="252"/>
    </row>
    <row r="26" spans="1:10" ht="17.75" customHeight="1">
      <c r="A26" s="350">
        <v>46118</v>
      </c>
      <c r="B26" s="344" t="s">
        <v>300</v>
      </c>
      <c r="C26" s="345" t="s">
        <v>945</v>
      </c>
      <c r="D26" s="346"/>
      <c r="E26" s="377">
        <v>136889.92000000001</v>
      </c>
      <c r="F26" s="357">
        <v>136889.92000000001</v>
      </c>
      <c r="G26" s="348">
        <f ca="1">G25+F26-D26</f>
        <v>0</v>
      </c>
      <c r="H26" s="349"/>
      <c r="I26" s="252"/>
      <c r="J26" s="252"/>
    </row>
    <row r="27" spans="1:10" ht="17.75" customHeight="1">
      <c r="A27" s="350">
        <v>46118</v>
      </c>
      <c r="B27" s="344" t="s">
        <v>450</v>
      </c>
      <c r="C27" s="345" t="s">
        <v>955</v>
      </c>
      <c r="D27" s="346"/>
      <c r="E27" s="377">
        <v>12000</v>
      </c>
      <c r="F27" s="357">
        <v>12000</v>
      </c>
      <c r="G27" s="348">
        <f ca="1">G26+F27-D27</f>
        <v>0</v>
      </c>
      <c r="H27" s="349"/>
      <c r="I27" s="252"/>
      <c r="J27" s="252"/>
    </row>
    <row r="28" spans="1:10" ht="17.75" customHeight="1">
      <c r="A28" s="350">
        <v>46118</v>
      </c>
      <c r="B28" s="344" t="s">
        <v>450</v>
      </c>
      <c r="C28" s="345" t="s">
        <v>779</v>
      </c>
      <c r="D28" s="346"/>
      <c r="E28" s="377"/>
      <c r="F28" s="357"/>
      <c r="G28" s="348">
        <f ca="1">G27+F28-D28</f>
        <v>0</v>
      </c>
      <c r="H28" s="349"/>
      <c r="I28" s="252"/>
      <c r="J28" s="252"/>
    </row>
    <row r="29" spans="1:10" ht="17.75" customHeight="1">
      <c r="A29" s="350">
        <v>46118</v>
      </c>
      <c r="B29" s="344" t="s">
        <v>450</v>
      </c>
      <c r="C29" s="345" t="s">
        <v>956</v>
      </c>
      <c r="D29" s="346"/>
      <c r="E29" s="377">
        <v>50000</v>
      </c>
      <c r="F29" s="357">
        <v>50000</v>
      </c>
      <c r="G29" s="348">
        <f ca="1">G28+F29-D29</f>
        <v>0</v>
      </c>
      <c r="H29" s="349"/>
      <c r="I29" s="252"/>
      <c r="J29" s="252"/>
    </row>
    <row r="30" spans="1:10" ht="17.75" customHeight="1">
      <c r="A30" s="350">
        <v>46120</v>
      </c>
      <c r="B30" s="344" t="s">
        <v>806</v>
      </c>
      <c r="C30" s="345" t="s">
        <v>920</v>
      </c>
      <c r="D30" s="346"/>
      <c r="E30" s="377">
        <v>457000</v>
      </c>
      <c r="F30" s="357">
        <v>457000</v>
      </c>
      <c r="G30" s="348">
        <f ca="1">G29+F30-D30</f>
        <v>0</v>
      </c>
      <c r="H30" s="358"/>
      <c r="I30" s="252"/>
      <c r="J30" s="252"/>
    </row>
    <row r="31" spans="1:10" ht="17.75" customHeight="1">
      <c r="A31" s="350">
        <v>46120</v>
      </c>
      <c r="B31" s="344" t="s">
        <v>450</v>
      </c>
      <c r="C31" s="345" t="s">
        <v>960</v>
      </c>
      <c r="D31" s="346"/>
      <c r="E31" s="377">
        <v>4500</v>
      </c>
      <c r="F31" s="357">
        <v>4500</v>
      </c>
      <c r="G31" s="348">
        <f ca="1">G30+F31-D31</f>
        <v>0</v>
      </c>
      <c r="H31" s="349"/>
      <c r="I31" s="252"/>
      <c r="J31" s="252"/>
    </row>
    <row r="32" spans="1:10" ht="17.75" customHeight="1">
      <c r="A32" s="350">
        <v>46120</v>
      </c>
      <c r="B32" s="344" t="s">
        <v>450</v>
      </c>
      <c r="C32" s="345" t="s">
        <v>961</v>
      </c>
      <c r="D32" s="346"/>
      <c r="E32" s="377">
        <v>5000</v>
      </c>
      <c r="F32" s="357">
        <v>5000</v>
      </c>
      <c r="G32" s="348">
        <f ca="1">G31+F32-D32</f>
        <v>0</v>
      </c>
      <c r="H32" s="349"/>
      <c r="I32" s="252"/>
      <c r="J32" s="252"/>
    </row>
    <row r="33" spans="1:10" ht="17.75" customHeight="1">
      <c r="A33" s="350">
        <v>46120</v>
      </c>
      <c r="B33" s="344" t="s">
        <v>794</v>
      </c>
      <c r="C33" s="345" t="s">
        <v>962</v>
      </c>
      <c r="D33" s="346"/>
      <c r="E33" s="377">
        <v>10000</v>
      </c>
      <c r="F33" s="357">
        <v>10000</v>
      </c>
      <c r="G33" s="348">
        <f ca="1">G32+F33-D33</f>
        <v>0</v>
      </c>
      <c r="H33" s="349"/>
      <c r="I33" s="252"/>
      <c r="J33" s="252"/>
    </row>
    <row r="34" spans="1:10" ht="17.75" customHeight="1">
      <c r="A34" s="343">
        <v>46120</v>
      </c>
      <c r="B34" s="344" t="s">
        <v>639</v>
      </c>
      <c r="C34" s="372" t="s">
        <v>939</v>
      </c>
      <c r="D34" s="346">
        <v>4500000</v>
      </c>
      <c r="E34" s="377"/>
      <c r="F34" s="357"/>
      <c r="G34" s="348"/>
      <c r="H34" s="349"/>
      <c r="I34" s="252"/>
      <c r="J34" s="252"/>
    </row>
    <row r="35" spans="1:10" ht="17.75" customHeight="1">
      <c r="A35" s="343">
        <v>46121</v>
      </c>
      <c r="B35" s="344" t="s">
        <v>639</v>
      </c>
      <c r="C35" s="372" t="s">
        <v>963</v>
      </c>
      <c r="D35" s="346">
        <v>296673.91999999998</v>
      </c>
      <c r="E35" s="377"/>
      <c r="F35" s="357"/>
      <c r="G35" s="348"/>
      <c r="H35" s="349"/>
      <c r="I35" s="252"/>
      <c r="J35" s="252"/>
    </row>
    <row r="36" spans="1:10" ht="17.75" customHeight="1">
      <c r="A36" s="350">
        <v>46122</v>
      </c>
      <c r="B36" s="344" t="s">
        <v>450</v>
      </c>
      <c r="C36" s="345" t="s">
        <v>801</v>
      </c>
      <c r="D36" s="346"/>
      <c r="E36" s="377">
        <v>740000</v>
      </c>
      <c r="F36" s="357">
        <v>0</v>
      </c>
      <c r="G36" s="348">
        <f ca="1">G36+F36-D36</f>
        <v>0</v>
      </c>
      <c r="H36" s="349"/>
      <c r="I36" s="424" t="s">
        <v>917</v>
      </c>
      <c r="J36" s="252"/>
    </row>
    <row r="37" spans="1:10" ht="17.75" customHeight="1">
      <c r="A37" s="350">
        <v>46122</v>
      </c>
      <c r="B37" s="344" t="s">
        <v>697</v>
      </c>
      <c r="C37" s="345" t="s">
        <v>791</v>
      </c>
      <c r="D37" s="346"/>
      <c r="E37" s="377">
        <v>120000</v>
      </c>
      <c r="F37" s="357">
        <v>0</v>
      </c>
      <c r="G37" s="348">
        <f ca="1">G37+F37-D37</f>
        <v>0</v>
      </c>
      <c r="H37" s="349"/>
      <c r="I37" s="252"/>
      <c r="J37" s="252"/>
    </row>
    <row r="38" spans="1:10" ht="17.75" customHeight="1">
      <c r="A38" s="350">
        <v>46122</v>
      </c>
      <c r="B38" s="344" t="s">
        <v>794</v>
      </c>
      <c r="C38" s="345" t="s">
        <v>942</v>
      </c>
      <c r="D38" s="346"/>
      <c r="E38" s="377">
        <v>50000</v>
      </c>
      <c r="F38" s="357">
        <v>50000</v>
      </c>
      <c r="G38" s="348">
        <f ca="1">G37+F38-D38</f>
        <v>0</v>
      </c>
      <c r="H38" s="349"/>
      <c r="I38" s="252"/>
      <c r="J38" s="252"/>
    </row>
    <row r="39" spans="1:10" ht="17.75" customHeight="1">
      <c r="A39" s="350">
        <v>46122</v>
      </c>
      <c r="B39" s="344" t="s">
        <v>288</v>
      </c>
      <c r="C39" s="345" t="s">
        <v>946</v>
      </c>
      <c r="D39" s="346"/>
      <c r="E39" s="377">
        <v>3430000</v>
      </c>
      <c r="F39" s="357">
        <v>3430000</v>
      </c>
      <c r="G39" s="348">
        <f ca="1">G38+F39-D39</f>
        <v>0</v>
      </c>
      <c r="H39" s="349"/>
      <c r="I39" s="252"/>
      <c r="J39" s="252"/>
    </row>
    <row r="40" spans="1:10" ht="17.75" customHeight="1">
      <c r="A40" s="350">
        <v>46122</v>
      </c>
      <c r="B40" s="344" t="s">
        <v>288</v>
      </c>
      <c r="C40" s="345" t="s">
        <v>947</v>
      </c>
      <c r="D40" s="346"/>
      <c r="E40" s="377">
        <v>2334000</v>
      </c>
      <c r="F40" s="357">
        <v>2234000</v>
      </c>
      <c r="G40" s="348">
        <f ca="1">G39+F40-D40</f>
        <v>0</v>
      </c>
      <c r="H40" s="349"/>
      <c r="I40" s="252"/>
      <c r="J40" s="252"/>
    </row>
    <row r="41" spans="1:10" ht="17.75" customHeight="1">
      <c r="A41" s="350">
        <v>46122</v>
      </c>
      <c r="B41" s="344" t="s">
        <v>288</v>
      </c>
      <c r="C41" s="345" t="s">
        <v>948</v>
      </c>
      <c r="D41" s="346"/>
      <c r="E41" s="377">
        <v>213829.63</v>
      </c>
      <c r="F41" s="357">
        <v>213829.63</v>
      </c>
      <c r="G41" s="348">
        <f ca="1">G40+F41-D41</f>
        <v>0</v>
      </c>
      <c r="H41" s="349"/>
      <c r="I41" s="252"/>
      <c r="J41" s="252"/>
    </row>
    <row r="42" spans="1:10" ht="17.75" customHeight="1">
      <c r="A42" s="350">
        <v>46122</v>
      </c>
      <c r="B42" s="344" t="s">
        <v>288</v>
      </c>
      <c r="C42" s="345" t="s">
        <v>949</v>
      </c>
      <c r="D42" s="346"/>
      <c r="E42" s="377">
        <v>88360.4</v>
      </c>
      <c r="F42" s="357">
        <v>88360</v>
      </c>
      <c r="G42" s="348">
        <f ca="1">G41+F42-D42</f>
        <v>0</v>
      </c>
      <c r="H42" s="349"/>
      <c r="I42" s="252"/>
      <c r="J42" s="252"/>
    </row>
    <row r="43" spans="1:10" ht="17.75" customHeight="1">
      <c r="A43" s="350">
        <v>46122</v>
      </c>
      <c r="B43" s="344" t="s">
        <v>288</v>
      </c>
      <c r="C43" s="345" t="s">
        <v>950</v>
      </c>
      <c r="D43" s="346"/>
      <c r="E43" s="377">
        <v>28075.5</v>
      </c>
      <c r="F43" s="357">
        <v>28075.5</v>
      </c>
      <c r="G43" s="348">
        <f ca="1">G42+F43-D43</f>
        <v>0</v>
      </c>
      <c r="H43" s="349"/>
      <c r="I43" s="252"/>
      <c r="J43" s="252"/>
    </row>
    <row r="44" spans="1:10" ht="17.75" customHeight="1">
      <c r="A44" s="350">
        <v>46122</v>
      </c>
      <c r="B44" s="344" t="s">
        <v>288</v>
      </c>
      <c r="C44" s="345" t="s">
        <v>951</v>
      </c>
      <c r="D44" s="346"/>
      <c r="E44" s="377">
        <v>11924.5</v>
      </c>
      <c r="F44" s="357">
        <v>11924.5</v>
      </c>
      <c r="G44" s="348">
        <f ca="1">G43+F44-D44</f>
        <v>0</v>
      </c>
      <c r="H44" s="352"/>
      <c r="I44" s="252"/>
      <c r="J44" s="252"/>
    </row>
    <row r="45" spans="1:10" ht="17.75" customHeight="1">
      <c r="A45" s="350">
        <v>46122</v>
      </c>
      <c r="B45" s="344" t="s">
        <v>679</v>
      </c>
      <c r="C45" s="345" t="s">
        <v>958</v>
      </c>
      <c r="D45" s="346"/>
      <c r="E45" s="377">
        <v>192000</v>
      </c>
      <c r="F45" s="357">
        <v>0</v>
      </c>
      <c r="G45" s="348">
        <f ca="1">G44+F45-D45</f>
        <v>0</v>
      </c>
      <c r="H45" s="360"/>
      <c r="I45" s="252"/>
      <c r="J45" s="252"/>
    </row>
    <row r="46" spans="1:10" ht="17.75" customHeight="1">
      <c r="A46" s="350">
        <v>46122</v>
      </c>
      <c r="B46" s="344" t="s">
        <v>679</v>
      </c>
      <c r="C46" s="345" t="s">
        <v>959</v>
      </c>
      <c r="D46" s="346"/>
      <c r="E46" s="377">
        <v>560000</v>
      </c>
      <c r="F46" s="357"/>
      <c r="G46" s="348">
        <f ca="1">G45+F46-D46</f>
        <v>0</v>
      </c>
      <c r="H46" s="349"/>
      <c r="I46" s="252"/>
      <c r="J46" s="252"/>
    </row>
    <row r="47" spans="1:10" ht="17.75" customHeight="1">
      <c r="A47" s="343">
        <v>46122</v>
      </c>
      <c r="B47" s="344" t="s">
        <v>450</v>
      </c>
      <c r="C47" s="345" t="s">
        <v>964</v>
      </c>
      <c r="D47" s="346"/>
      <c r="E47" s="377">
        <v>113581.44</v>
      </c>
      <c r="F47" s="357">
        <v>113581.44</v>
      </c>
      <c r="G47" s="348"/>
      <c r="H47" s="349"/>
      <c r="I47" s="252"/>
      <c r="J47" s="252"/>
    </row>
    <row r="48" spans="1:10" ht="17.75" customHeight="1">
      <c r="A48" s="343">
        <v>46122</v>
      </c>
      <c r="B48" s="344" t="s">
        <v>639</v>
      </c>
      <c r="C48" s="372" t="s">
        <v>963</v>
      </c>
      <c r="D48" s="346">
        <v>730000</v>
      </c>
      <c r="E48" s="377"/>
      <c r="F48" s="357"/>
      <c r="G48" s="348"/>
      <c r="H48" s="349"/>
      <c r="I48" s="252"/>
      <c r="J48" s="252"/>
    </row>
    <row r="49" spans="1:10" ht="17.75" customHeight="1">
      <c r="A49" s="343">
        <v>46122</v>
      </c>
      <c r="B49" s="344" t="s">
        <v>965</v>
      </c>
      <c r="C49" s="345" t="s">
        <v>966</v>
      </c>
      <c r="D49" s="346"/>
      <c r="E49" s="377">
        <v>40000</v>
      </c>
      <c r="F49" s="357">
        <v>40000</v>
      </c>
      <c r="G49" s="348"/>
      <c r="H49" s="349"/>
      <c r="I49" s="252"/>
      <c r="J49" s="252"/>
    </row>
    <row r="50" spans="1:10" ht="17.75" customHeight="1">
      <c r="A50" s="343">
        <v>46122</v>
      </c>
      <c r="B50" s="344" t="s">
        <v>450</v>
      </c>
      <c r="C50" s="345" t="s">
        <v>967</v>
      </c>
      <c r="D50" s="346"/>
      <c r="E50" s="377">
        <v>39500</v>
      </c>
      <c r="F50" s="357">
        <v>39500</v>
      </c>
      <c r="G50" s="348"/>
      <c r="H50" s="349"/>
      <c r="I50" s="252"/>
      <c r="J50" s="252"/>
    </row>
    <row r="51" spans="1:10" ht="17.75" customHeight="1">
      <c r="A51" s="343">
        <v>46122</v>
      </c>
      <c r="B51" s="344" t="s">
        <v>639</v>
      </c>
      <c r="C51" s="345" t="s">
        <v>968</v>
      </c>
      <c r="D51" s="346">
        <v>2004000</v>
      </c>
      <c r="E51" s="377"/>
      <c r="F51" s="357"/>
      <c r="G51" s="348"/>
      <c r="H51" s="349"/>
      <c r="I51" s="252"/>
      <c r="J51" s="252"/>
    </row>
    <row r="52" spans="1:10" ht="17.75" customHeight="1">
      <c r="A52" s="350">
        <v>46122</v>
      </c>
      <c r="B52" s="344" t="s">
        <v>450</v>
      </c>
      <c r="C52" s="345" t="s">
        <v>779</v>
      </c>
      <c r="D52" s="346"/>
      <c r="E52" s="377">
        <v>20000</v>
      </c>
      <c r="F52" s="357">
        <v>20000</v>
      </c>
      <c r="G52" s="348">
        <f ca="1">G42+F52-D52</f>
        <v>0</v>
      </c>
      <c r="H52" s="349"/>
      <c r="I52" s="252"/>
      <c r="J52" s="252"/>
    </row>
    <row r="53" spans="1:10" ht="17.75" customHeight="1">
      <c r="A53" s="343">
        <v>46122</v>
      </c>
      <c r="B53" s="344" t="s">
        <v>450</v>
      </c>
      <c r="C53" s="345" t="s">
        <v>940</v>
      </c>
      <c r="D53" s="346"/>
      <c r="E53" s="377">
        <v>50000</v>
      </c>
      <c r="F53" s="357">
        <v>50000</v>
      </c>
      <c r="G53" s="348"/>
      <c r="H53" s="349"/>
      <c r="I53" s="252"/>
      <c r="J53" s="252"/>
    </row>
    <row r="54" spans="1:10" ht="17.75" customHeight="1">
      <c r="A54" s="343">
        <v>46122</v>
      </c>
      <c r="B54" s="344" t="s">
        <v>450</v>
      </c>
      <c r="C54" s="345" t="s">
        <v>969</v>
      </c>
      <c r="D54" s="346"/>
      <c r="E54" s="377">
        <v>54500</v>
      </c>
      <c r="F54" s="357">
        <v>54500</v>
      </c>
      <c r="G54" s="348"/>
      <c r="H54" s="349"/>
      <c r="I54" s="252"/>
      <c r="J54" s="252"/>
    </row>
    <row r="55" spans="1:10" ht="17.75" customHeight="1">
      <c r="A55" s="343">
        <v>46122</v>
      </c>
      <c r="B55" s="344" t="s">
        <v>450</v>
      </c>
      <c r="C55" s="345" t="s">
        <v>971</v>
      </c>
      <c r="D55" s="346"/>
      <c r="E55" s="377">
        <v>100000</v>
      </c>
      <c r="F55" s="357">
        <v>100000</v>
      </c>
      <c r="G55" s="348"/>
      <c r="H55" s="349"/>
      <c r="I55" s="252"/>
      <c r="J55" s="252"/>
    </row>
    <row r="56" spans="1:10" ht="17.75" customHeight="1">
      <c r="A56" s="343">
        <v>46122</v>
      </c>
      <c r="B56" s="344" t="s">
        <v>450</v>
      </c>
      <c r="C56" s="345" t="s">
        <v>970</v>
      </c>
      <c r="D56" s="346"/>
      <c r="E56" s="377">
        <v>11150</v>
      </c>
      <c r="F56" s="357">
        <v>11150</v>
      </c>
      <c r="G56" s="348"/>
      <c r="H56" s="349"/>
      <c r="I56" s="252"/>
      <c r="J56" s="252"/>
    </row>
    <row r="57" spans="1:10" ht="17.75" customHeight="1">
      <c r="A57" s="350">
        <v>46125</v>
      </c>
      <c r="B57" s="344" t="s">
        <v>254</v>
      </c>
      <c r="C57" s="345" t="s">
        <v>919</v>
      </c>
      <c r="D57" s="346"/>
      <c r="E57" s="377">
        <v>267000</v>
      </c>
      <c r="F57" s="357">
        <v>267000</v>
      </c>
      <c r="G57" s="348">
        <f ca="1">G57+F57-D57</f>
        <v>0</v>
      </c>
      <c r="H57" s="361"/>
      <c r="I57" s="252"/>
      <c r="J57" s="252"/>
    </row>
    <row r="58" spans="1:10" ht="17.75" customHeight="1">
      <c r="A58" s="350">
        <v>46128</v>
      </c>
      <c r="B58" s="344" t="s">
        <v>254</v>
      </c>
      <c r="C58" s="517" t="s">
        <v>918</v>
      </c>
      <c r="D58" s="346"/>
      <c r="E58" s="377">
        <v>223000</v>
      </c>
      <c r="F58" s="357">
        <v>0</v>
      </c>
      <c r="G58" s="348">
        <f ca="1">G58</f>
        <v>0</v>
      </c>
      <c r="H58" s="361"/>
      <c r="I58" s="252"/>
      <c r="J58" s="252"/>
    </row>
    <row r="59" spans="1:10" ht="17.75" customHeight="1">
      <c r="A59" s="350">
        <v>46132</v>
      </c>
      <c r="B59" s="344" t="s">
        <v>254</v>
      </c>
      <c r="C59" s="345" t="s">
        <v>708</v>
      </c>
      <c r="D59" s="346"/>
      <c r="E59" s="377">
        <v>863000</v>
      </c>
      <c r="F59" s="357">
        <v>0</v>
      </c>
      <c r="G59" s="348">
        <f ca="1">G58+F59-D59</f>
        <v>0</v>
      </c>
      <c r="H59" s="349"/>
      <c r="I59" s="252"/>
      <c r="J59" s="252"/>
    </row>
    <row r="60" spans="1:10" ht="17.75" customHeight="1">
      <c r="A60" s="350">
        <v>46132</v>
      </c>
      <c r="B60" s="344" t="s">
        <v>14</v>
      </c>
      <c r="C60" s="345" t="s">
        <v>933</v>
      </c>
      <c r="D60" s="346"/>
      <c r="E60" s="377">
        <v>740000</v>
      </c>
      <c r="F60" s="357">
        <v>0</v>
      </c>
      <c r="G60" s="348">
        <f ca="1">G59+F60-D60</f>
        <v>0</v>
      </c>
      <c r="H60" s="349"/>
      <c r="I60" s="252"/>
      <c r="J60" s="252"/>
    </row>
    <row r="61" spans="1:10" ht="17.75" customHeight="1">
      <c r="A61" s="350">
        <v>46137</v>
      </c>
      <c r="B61" s="344" t="s">
        <v>806</v>
      </c>
      <c r="C61" s="345" t="s">
        <v>957</v>
      </c>
      <c r="D61" s="346"/>
      <c r="E61" s="377">
        <v>557000</v>
      </c>
      <c r="F61" s="357">
        <v>0</v>
      </c>
      <c r="G61" s="348">
        <f ca="1">G61+F61-D61</f>
        <v>0</v>
      </c>
      <c r="H61" s="349"/>
      <c r="I61" s="252"/>
      <c r="J61" s="252"/>
    </row>
    <row r="62" spans="1:10" ht="17.75" customHeight="1">
      <c r="A62" s="350">
        <v>46139</v>
      </c>
      <c r="B62" s="344" t="s">
        <v>254</v>
      </c>
      <c r="C62" s="345" t="s">
        <v>709</v>
      </c>
      <c r="D62" s="346"/>
      <c r="E62" s="377">
        <v>782000</v>
      </c>
      <c r="F62" s="357">
        <v>0</v>
      </c>
      <c r="G62" s="348">
        <f ca="1">G62+F62-D62</f>
        <v>0</v>
      </c>
      <c r="H62" s="349"/>
      <c r="I62" s="252"/>
      <c r="J62" s="252"/>
    </row>
    <row r="63" spans="1:10" ht="17.75" customHeight="1">
      <c r="A63" s="529">
        <v>46140</v>
      </c>
      <c r="B63" s="518" t="s">
        <v>300</v>
      </c>
      <c r="C63" s="519" t="s">
        <v>783</v>
      </c>
      <c r="D63" s="520"/>
      <c r="E63" s="521">
        <v>0</v>
      </c>
      <c r="F63" s="522">
        <v>0</v>
      </c>
      <c r="G63" s="523">
        <f ca="1">G63+F63-D63</f>
        <v>0</v>
      </c>
      <c r="H63" s="524"/>
      <c r="I63" s="252"/>
      <c r="J63" s="252"/>
    </row>
    <row r="64" spans="1:10" ht="17.75" customHeight="1">
      <c r="A64" s="529">
        <v>46140</v>
      </c>
      <c r="B64" s="518" t="s">
        <v>300</v>
      </c>
      <c r="C64" s="519" t="s">
        <v>783</v>
      </c>
      <c r="D64" s="520"/>
      <c r="E64" s="521">
        <v>0</v>
      </c>
      <c r="F64" s="522">
        <v>0</v>
      </c>
      <c r="G64" s="523">
        <f ca="1">G64+F64-D64</f>
        <v>0</v>
      </c>
      <c r="H64" s="524"/>
      <c r="I64" s="252"/>
      <c r="J64" s="252"/>
    </row>
    <row r="65" spans="1:10" ht="17.75" customHeight="1">
      <c r="A65" s="529">
        <v>46140</v>
      </c>
      <c r="B65" s="518" t="s">
        <v>788</v>
      </c>
      <c r="C65" s="519" t="s">
        <v>789</v>
      </c>
      <c r="D65" s="520"/>
      <c r="E65" s="521">
        <v>0</v>
      </c>
      <c r="F65" s="522">
        <v>0</v>
      </c>
      <c r="G65" s="523">
        <f ca="1">G65+F65-D65</f>
        <v>0</v>
      </c>
      <c r="H65" s="540"/>
      <c r="I65" s="252"/>
      <c r="J65" s="252"/>
    </row>
    <row r="66" spans="1:10" ht="17.75" customHeight="1">
      <c r="A66" s="538">
        <v>46140</v>
      </c>
      <c r="B66" s="531" t="s">
        <v>300</v>
      </c>
      <c r="C66" s="532" t="s">
        <v>790</v>
      </c>
      <c r="D66" s="533"/>
      <c r="E66" s="534">
        <v>0</v>
      </c>
      <c r="F66" s="535">
        <v>0</v>
      </c>
      <c r="G66" s="536">
        <f ca="1">G66+F66-D66</f>
        <v>0</v>
      </c>
      <c r="H66" s="537"/>
      <c r="I66" s="252"/>
      <c r="J66" s="252"/>
    </row>
    <row r="67" spans="1:10" ht="17.75" customHeight="1">
      <c r="A67" s="538">
        <v>46142</v>
      </c>
      <c r="B67" s="531" t="s">
        <v>254</v>
      </c>
      <c r="C67" s="532" t="s">
        <v>496</v>
      </c>
      <c r="D67" s="533"/>
      <c r="E67" s="534">
        <v>84000</v>
      </c>
      <c r="F67" s="535">
        <v>0</v>
      </c>
      <c r="G67" s="536">
        <f ca="1">G67+F67-D67</f>
        <v>0</v>
      </c>
      <c r="H67" s="537"/>
      <c r="I67" s="252"/>
      <c r="J67" s="252"/>
    </row>
    <row r="68" spans="1:10" ht="17.75" customHeight="1">
      <c r="A68" s="538">
        <v>46142</v>
      </c>
      <c r="B68" s="531" t="s">
        <v>254</v>
      </c>
      <c r="C68" s="532" t="s">
        <v>916</v>
      </c>
      <c r="D68" s="533"/>
      <c r="E68" s="534">
        <v>330000</v>
      </c>
      <c r="F68" s="541">
        <v>0</v>
      </c>
      <c r="G68" s="536">
        <f ca="1">G68+F68-D68</f>
        <v>0</v>
      </c>
      <c r="H68" s="537"/>
      <c r="I68" s="252"/>
      <c r="J68" s="252"/>
    </row>
    <row r="69" spans="1:10" ht="17.75" customHeight="1">
      <c r="A69" s="538">
        <v>46142</v>
      </c>
      <c r="B69" s="531" t="s">
        <v>254</v>
      </c>
      <c r="C69" s="532" t="s">
        <v>797</v>
      </c>
      <c r="D69" s="533"/>
      <c r="E69" s="534">
        <v>37000</v>
      </c>
      <c r="F69" s="535">
        <v>0</v>
      </c>
      <c r="G69" s="536">
        <f ca="1">D68+G68+F69-D69</f>
        <v>0</v>
      </c>
      <c r="H69" s="539"/>
      <c r="I69" s="252"/>
      <c r="J69" s="252"/>
    </row>
    <row r="70" spans="1:10" ht="17.75" customHeight="1">
      <c r="A70" s="538">
        <v>46142</v>
      </c>
      <c r="B70" s="531" t="s">
        <v>256</v>
      </c>
      <c r="C70" s="532" t="s">
        <v>590</v>
      </c>
      <c r="D70" s="533"/>
      <c r="E70" s="534">
        <v>150000</v>
      </c>
      <c r="F70" s="535">
        <v>0</v>
      </c>
      <c r="G70" s="536">
        <f ca="1">G69+F70-D70</f>
        <v>0</v>
      </c>
      <c r="H70" s="539"/>
      <c r="I70" s="252"/>
      <c r="J70" s="252"/>
    </row>
    <row r="71" spans="1:10" ht="17.75" customHeight="1">
      <c r="A71" s="538">
        <v>46142</v>
      </c>
      <c r="B71" s="531" t="s">
        <v>697</v>
      </c>
      <c r="C71" s="532" t="s">
        <v>698</v>
      </c>
      <c r="D71" s="533"/>
      <c r="E71" s="534">
        <v>120000</v>
      </c>
      <c r="F71" s="535">
        <v>0</v>
      </c>
      <c r="G71" s="536">
        <f ca="1">G70+F71-D71</f>
        <v>0</v>
      </c>
      <c r="H71" s="539"/>
      <c r="I71" s="252"/>
      <c r="J71" s="252"/>
    </row>
    <row r="72" spans="1:10" ht="17.75" customHeight="1">
      <c r="A72" s="538">
        <v>46142</v>
      </c>
      <c r="B72" s="531" t="s">
        <v>929</v>
      </c>
      <c r="C72" s="532" t="s">
        <v>930</v>
      </c>
      <c r="D72" s="533"/>
      <c r="E72" s="534">
        <v>700000</v>
      </c>
      <c r="F72" s="535">
        <v>0</v>
      </c>
      <c r="G72" s="536">
        <f ca="1">G71+F72-D72</f>
        <v>0</v>
      </c>
      <c r="H72" s="537"/>
      <c r="I72" s="252"/>
      <c r="J72" s="252"/>
    </row>
    <row r="73" spans="1:10" ht="17.75" customHeight="1">
      <c r="A73" s="530">
        <v>46142</v>
      </c>
      <c r="B73" s="531" t="s">
        <v>952</v>
      </c>
      <c r="C73" s="532" t="s">
        <v>953</v>
      </c>
      <c r="D73" s="533"/>
      <c r="E73" s="534">
        <v>50000</v>
      </c>
      <c r="F73" s="535">
        <v>0</v>
      </c>
      <c r="G73" s="536">
        <f ca="1">G72+F73-D73</f>
        <v>0</v>
      </c>
      <c r="H73" s="537"/>
      <c r="I73" s="252"/>
      <c r="J73" s="252"/>
    </row>
    <row r="74" spans="1:10" ht="17.75" customHeight="1">
      <c r="A74" s="530">
        <v>46142</v>
      </c>
      <c r="B74" s="531" t="s">
        <v>952</v>
      </c>
      <c r="C74" s="532" t="s">
        <v>954</v>
      </c>
      <c r="D74" s="533"/>
      <c r="E74" s="534">
        <v>50000</v>
      </c>
      <c r="F74" s="535">
        <v>0</v>
      </c>
      <c r="G74" s="536">
        <f ca="1">G73+F74-D74</f>
        <v>0</v>
      </c>
      <c r="H74" s="537"/>
      <c r="I74" s="252"/>
      <c r="J74" s="252"/>
    </row>
    <row r="75" spans="1:10" ht="17.75" customHeight="1">
      <c r="A75" s="530">
        <v>46142</v>
      </c>
      <c r="B75" s="531" t="s">
        <v>288</v>
      </c>
      <c r="C75" s="532" t="s">
        <v>972</v>
      </c>
      <c r="D75" s="533"/>
      <c r="E75" s="534">
        <v>107622</v>
      </c>
      <c r="F75" s="535"/>
      <c r="G75" s="536"/>
      <c r="H75" s="537"/>
      <c r="I75" s="252"/>
      <c r="J75" s="252"/>
    </row>
    <row r="76" spans="1:10" ht="17.75" customHeight="1">
      <c r="A76" s="530">
        <v>46142</v>
      </c>
      <c r="B76" s="531" t="s">
        <v>288</v>
      </c>
      <c r="C76" s="532" t="s">
        <v>973</v>
      </c>
      <c r="D76" s="533"/>
      <c r="E76" s="534">
        <v>384482</v>
      </c>
      <c r="F76" s="535"/>
      <c r="G76" s="536"/>
      <c r="H76" s="537"/>
      <c r="I76" s="252"/>
      <c r="J76" s="252"/>
    </row>
    <row r="77" spans="1:10" ht="17.75" customHeight="1">
      <c r="A77" s="343"/>
      <c r="B77" s="344"/>
      <c r="C77" s="345"/>
      <c r="D77" s="346"/>
      <c r="E77" s="377"/>
      <c r="F77" s="357"/>
      <c r="G77" s="348"/>
      <c r="H77" s="349"/>
      <c r="I77" s="252"/>
      <c r="J77" s="252"/>
    </row>
    <row r="78" spans="1:10">
      <c r="A78" s="314"/>
      <c r="B78" s="286"/>
      <c r="C78" s="314"/>
      <c r="D78" s="542" t="s">
        <v>372</v>
      </c>
      <c r="E78" s="378" t="s">
        <v>373</v>
      </c>
      <c r="F78" s="314"/>
      <c r="G78" s="286" t="s">
        <v>226</v>
      </c>
      <c r="H78" s="314"/>
      <c r="I78" s="252"/>
      <c r="J78" s="252"/>
    </row>
    <row r="79" spans="1:10">
      <c r="A79" s="315"/>
      <c r="B79" s="316"/>
      <c r="C79" s="323"/>
      <c r="D79" s="331">
        <f>SUM(D4:D78)</f>
        <v>9364937.2799999993</v>
      </c>
      <c r="E79" s="379">
        <f>SUM(E4:E78)</f>
        <v>17234615.390000001</v>
      </c>
      <c r="F79" s="332">
        <f>SUM(F4:F78)</f>
        <v>9744510.9900000002</v>
      </c>
      <c r="G79" s="337">
        <f>D79-E79</f>
        <v>-7869678.1100000013</v>
      </c>
      <c r="H79" s="323"/>
      <c r="I79" s="252"/>
      <c r="J79" s="252"/>
    </row>
    <row r="80" spans="1:10">
      <c r="A80" s="353"/>
      <c r="B80" s="354"/>
      <c r="C80" s="354"/>
      <c r="D80" s="355"/>
      <c r="E80" s="381"/>
      <c r="F80" s="355"/>
      <c r="G80" s="356"/>
      <c r="H80" s="252"/>
      <c r="I80" s="252"/>
      <c r="J80" s="252"/>
    </row>
    <row r="86" spans="1:10" ht="22.5" customHeight="1">
      <c r="A86" s="237" t="s">
        <v>24</v>
      </c>
      <c r="B86" s="238" t="s">
        <v>363</v>
      </c>
      <c r="C86" s="239" t="s">
        <v>364</v>
      </c>
      <c r="D86" s="240" t="s">
        <v>365</v>
      </c>
      <c r="E86" s="376" t="s">
        <v>366</v>
      </c>
      <c r="F86" s="240" t="s">
        <v>398</v>
      </c>
      <c r="G86" s="240" t="s">
        <v>367</v>
      </c>
      <c r="H86" s="241" t="s">
        <v>27</v>
      </c>
      <c r="I86" s="242" t="s">
        <v>320</v>
      </c>
      <c r="J86" s="243">
        <f>G107</f>
        <v>0</v>
      </c>
    </row>
    <row r="87" spans="1:10" ht="17.75" customHeight="1">
      <c r="A87" s="350">
        <v>46038</v>
      </c>
      <c r="B87" s="344" t="s">
        <v>639</v>
      </c>
      <c r="C87" s="374" t="s">
        <v>805</v>
      </c>
      <c r="D87" s="346">
        <v>270000</v>
      </c>
      <c r="E87" s="377"/>
      <c r="F87" s="357"/>
      <c r="G87" s="348"/>
      <c r="H87" s="349"/>
      <c r="I87" s="252"/>
      <c r="J87" s="252"/>
    </row>
    <row r="88" spans="1:10" ht="17.75" customHeight="1">
      <c r="A88" s="350">
        <v>46038</v>
      </c>
      <c r="B88" s="344" t="s">
        <v>450</v>
      </c>
      <c r="C88" s="345" t="s">
        <v>580</v>
      </c>
      <c r="D88" s="346"/>
      <c r="E88" s="377"/>
      <c r="F88" s="357">
        <v>0</v>
      </c>
      <c r="G88" s="348">
        <f>D87+G87+F88-D88</f>
        <v>270000</v>
      </c>
      <c r="H88" s="358"/>
      <c r="I88" s="252"/>
      <c r="J88" s="252"/>
    </row>
    <row r="89" spans="1:10" ht="17.75" customHeight="1">
      <c r="A89" s="350">
        <v>46051</v>
      </c>
      <c r="B89" s="344" t="s">
        <v>256</v>
      </c>
      <c r="C89" s="345" t="s">
        <v>590</v>
      </c>
      <c r="D89" s="346"/>
      <c r="E89" s="377"/>
      <c r="F89" s="357">
        <v>0</v>
      </c>
      <c r="G89" s="348">
        <f>G88+F89-D89</f>
        <v>270000</v>
      </c>
      <c r="H89" s="358"/>
      <c r="I89" s="252"/>
      <c r="J89" s="252"/>
    </row>
    <row r="90" spans="1:10" ht="17.75" customHeight="1">
      <c r="A90" s="350">
        <v>46056</v>
      </c>
      <c r="B90" s="344" t="s">
        <v>806</v>
      </c>
      <c r="C90" s="345" t="s">
        <v>807</v>
      </c>
      <c r="D90" s="346"/>
      <c r="E90" s="377">
        <v>650000</v>
      </c>
      <c r="F90" s="357">
        <v>650000</v>
      </c>
      <c r="G90" s="348"/>
      <c r="H90" s="349"/>
      <c r="I90" s="252"/>
      <c r="J90" s="252"/>
    </row>
    <row r="91" spans="1:10" ht="17.75" customHeight="1">
      <c r="A91" s="350">
        <v>46065</v>
      </c>
      <c r="B91" s="344" t="s">
        <v>697</v>
      </c>
      <c r="C91" s="345" t="s">
        <v>698</v>
      </c>
      <c r="D91" s="346"/>
      <c r="E91" s="377"/>
      <c r="F91" s="357">
        <v>0</v>
      </c>
      <c r="G91" s="348">
        <f>G90+F91-D91</f>
        <v>0</v>
      </c>
      <c r="H91" s="358"/>
      <c r="I91" s="252"/>
      <c r="J91" s="252"/>
    </row>
    <row r="92" spans="1:10" ht="17.75" customHeight="1">
      <c r="A92" s="350">
        <v>46086</v>
      </c>
      <c r="B92" s="344" t="s">
        <v>815</v>
      </c>
      <c r="C92" s="345" t="s">
        <v>820</v>
      </c>
      <c r="D92" s="346"/>
      <c r="E92" s="377">
        <v>172000</v>
      </c>
      <c r="F92" s="357">
        <v>172000</v>
      </c>
      <c r="G92" s="348"/>
      <c r="H92" s="349"/>
      <c r="I92" s="252"/>
      <c r="J92" s="252"/>
    </row>
    <row r="93" spans="1:10" ht="17.75" customHeight="1">
      <c r="A93" s="350">
        <v>46086</v>
      </c>
      <c r="B93" s="344" t="s">
        <v>676</v>
      </c>
      <c r="C93" s="345" t="s">
        <v>816</v>
      </c>
      <c r="D93" s="346"/>
      <c r="E93" s="377">
        <v>215000</v>
      </c>
      <c r="F93" s="357">
        <v>215000</v>
      </c>
      <c r="G93" s="348"/>
      <c r="H93" s="358"/>
      <c r="I93" s="252"/>
      <c r="J93" s="252"/>
    </row>
    <row r="94" spans="1:10" ht="17.75" customHeight="1">
      <c r="A94" s="350">
        <v>46086</v>
      </c>
      <c r="B94" s="344" t="s">
        <v>14</v>
      </c>
      <c r="C94" s="345" t="s">
        <v>817</v>
      </c>
      <c r="D94" s="346"/>
      <c r="E94" s="377">
        <v>160000</v>
      </c>
      <c r="F94" s="357">
        <v>160000</v>
      </c>
      <c r="G94" s="348"/>
      <c r="H94" s="349"/>
      <c r="I94" s="252"/>
      <c r="J94" s="252"/>
    </row>
    <row r="95" spans="1:10" ht="17.75" customHeight="1">
      <c r="A95" s="350">
        <v>46086</v>
      </c>
      <c r="B95" s="344" t="s">
        <v>639</v>
      </c>
      <c r="C95" s="372" t="s">
        <v>818</v>
      </c>
      <c r="D95" s="346">
        <v>3792147.57</v>
      </c>
      <c r="E95" s="377"/>
      <c r="F95" s="357"/>
      <c r="G95" s="348"/>
      <c r="H95" s="352"/>
      <c r="I95" s="252"/>
      <c r="J95" s="252"/>
    </row>
    <row r="96" spans="1:10" ht="17.75" customHeight="1">
      <c r="A96" s="350">
        <v>46087</v>
      </c>
      <c r="B96" s="344" t="s">
        <v>254</v>
      </c>
      <c r="C96" s="345" t="s">
        <v>808</v>
      </c>
      <c r="D96" s="346"/>
      <c r="E96" s="377">
        <v>70000</v>
      </c>
      <c r="F96" s="357">
        <v>70000</v>
      </c>
      <c r="G96" s="348"/>
      <c r="H96" s="359"/>
      <c r="I96" s="252"/>
      <c r="J96" s="252"/>
    </row>
    <row r="97" spans="1:10" ht="17.75" customHeight="1">
      <c r="A97" s="313">
        <v>46087</v>
      </c>
      <c r="B97" s="344" t="s">
        <v>450</v>
      </c>
      <c r="C97" s="345" t="s">
        <v>809</v>
      </c>
      <c r="D97" s="346"/>
      <c r="E97" s="377">
        <v>200000</v>
      </c>
      <c r="F97" s="357">
        <v>200000</v>
      </c>
      <c r="G97" s="348"/>
      <c r="H97" s="349"/>
      <c r="I97" s="252"/>
      <c r="J97" s="252"/>
    </row>
    <row r="98" spans="1:10" ht="17.75" customHeight="1">
      <c r="A98" s="350">
        <v>46088</v>
      </c>
      <c r="B98" s="344" t="s">
        <v>450</v>
      </c>
      <c r="C98" s="345" t="s">
        <v>779</v>
      </c>
      <c r="D98" s="346"/>
      <c r="E98" s="377">
        <v>30000</v>
      </c>
      <c r="F98" s="357">
        <v>30000</v>
      </c>
      <c r="G98" s="348"/>
      <c r="H98" s="349"/>
      <c r="I98" s="252"/>
      <c r="J98" s="252"/>
    </row>
    <row r="99" spans="1:10" ht="17.75" customHeight="1">
      <c r="A99" s="350">
        <v>46090</v>
      </c>
      <c r="B99" s="344" t="s">
        <v>824</v>
      </c>
      <c r="C99" s="345" t="s">
        <v>825</v>
      </c>
      <c r="D99" s="346"/>
      <c r="E99" s="377">
        <v>39700</v>
      </c>
      <c r="F99" s="357">
        <v>39700</v>
      </c>
      <c r="G99" s="348"/>
      <c r="H99" s="349"/>
      <c r="I99" s="252"/>
      <c r="J99" s="252"/>
    </row>
    <row r="100" spans="1:10" ht="17.75" customHeight="1">
      <c r="A100" s="350">
        <v>46090</v>
      </c>
      <c r="B100" s="344" t="s">
        <v>562</v>
      </c>
      <c r="C100" s="345" t="s">
        <v>827</v>
      </c>
      <c r="D100" s="346"/>
      <c r="E100" s="377">
        <v>10000</v>
      </c>
      <c r="F100" s="357">
        <v>10000</v>
      </c>
      <c r="G100" s="348"/>
      <c r="H100" s="360"/>
      <c r="I100" s="252"/>
      <c r="J100" s="252"/>
    </row>
    <row r="101" spans="1:10" ht="17.75" customHeight="1">
      <c r="A101" s="350">
        <v>46090</v>
      </c>
      <c r="B101" s="344" t="s">
        <v>639</v>
      </c>
      <c r="C101" s="372" t="s">
        <v>828</v>
      </c>
      <c r="D101" s="346">
        <v>2000000</v>
      </c>
      <c r="E101" s="377"/>
      <c r="F101" s="357"/>
      <c r="G101" s="348"/>
      <c r="H101" s="349"/>
      <c r="I101" s="252"/>
      <c r="J101" s="252"/>
    </row>
    <row r="102" spans="1:10" ht="17.75" customHeight="1">
      <c r="A102" s="350">
        <v>46090</v>
      </c>
      <c r="B102" s="344" t="s">
        <v>829</v>
      </c>
      <c r="C102" s="345" t="s">
        <v>830</v>
      </c>
      <c r="D102" s="346"/>
      <c r="E102" s="377">
        <v>582588.38</v>
      </c>
      <c r="F102" s="357">
        <v>582588.38</v>
      </c>
      <c r="G102" s="348"/>
      <c r="H102" s="349"/>
      <c r="I102" s="252"/>
      <c r="J102" s="252"/>
    </row>
    <row r="103" spans="1:10" ht="17.75" customHeight="1">
      <c r="A103" s="350">
        <v>46090</v>
      </c>
      <c r="B103" s="344" t="s">
        <v>450</v>
      </c>
      <c r="C103" s="345" t="s">
        <v>836</v>
      </c>
      <c r="D103" s="346"/>
      <c r="E103" s="377">
        <v>50000</v>
      </c>
      <c r="F103" s="357">
        <v>50000</v>
      </c>
      <c r="G103" s="348"/>
      <c r="H103" s="349"/>
      <c r="I103" s="252"/>
      <c r="J103" s="252"/>
    </row>
    <row r="104" spans="1:10" ht="17.75" customHeight="1">
      <c r="A104" s="350">
        <v>46091</v>
      </c>
      <c r="B104" s="344" t="s">
        <v>288</v>
      </c>
      <c r="C104" s="345" t="s">
        <v>814</v>
      </c>
      <c r="D104" s="346"/>
      <c r="E104" s="377">
        <v>5718000</v>
      </c>
      <c r="F104" s="357">
        <v>5718000</v>
      </c>
      <c r="G104" s="348"/>
      <c r="H104" s="349"/>
      <c r="I104" s="252"/>
      <c r="J104" s="252"/>
    </row>
    <row r="105" spans="1:10" ht="17.75" customHeight="1">
      <c r="A105" s="350">
        <v>46091</v>
      </c>
      <c r="B105" s="344" t="s">
        <v>679</v>
      </c>
      <c r="C105" s="345" t="s">
        <v>655</v>
      </c>
      <c r="D105" s="346"/>
      <c r="E105" s="377">
        <v>28820</v>
      </c>
      <c r="F105" s="357">
        <v>28820</v>
      </c>
      <c r="G105" s="348"/>
      <c r="H105" s="349"/>
      <c r="I105" s="252"/>
      <c r="J105" s="252"/>
    </row>
    <row r="106" spans="1:10" ht="17.75" customHeight="1">
      <c r="A106" s="350">
        <v>46092</v>
      </c>
      <c r="B106" s="344" t="s">
        <v>450</v>
      </c>
      <c r="C106" s="345" t="s">
        <v>831</v>
      </c>
      <c r="D106" s="346"/>
      <c r="E106" s="377">
        <v>12000</v>
      </c>
      <c r="F106" s="357">
        <v>12000</v>
      </c>
      <c r="G106" s="348"/>
      <c r="H106" s="358"/>
      <c r="I106" s="252"/>
      <c r="J106" s="252"/>
    </row>
    <row r="107" spans="1:10" ht="17.75" customHeight="1">
      <c r="A107" s="350">
        <v>46092</v>
      </c>
      <c r="B107" s="344" t="s">
        <v>216</v>
      </c>
      <c r="C107" s="345" t="s">
        <v>833</v>
      </c>
      <c r="D107" s="346"/>
      <c r="E107" s="377">
        <v>20000</v>
      </c>
      <c r="F107" s="357">
        <v>20000</v>
      </c>
      <c r="G107" s="348"/>
      <c r="H107" s="349"/>
      <c r="I107" s="252"/>
      <c r="J107" s="252"/>
    </row>
    <row r="108" spans="1:10" ht="17.75" customHeight="1">
      <c r="A108" s="350">
        <v>46093</v>
      </c>
      <c r="B108" s="344" t="s">
        <v>450</v>
      </c>
      <c r="C108" s="345" t="s">
        <v>837</v>
      </c>
      <c r="D108" s="346"/>
      <c r="E108" s="377">
        <v>4700</v>
      </c>
      <c r="F108" s="357">
        <v>4700</v>
      </c>
      <c r="G108" s="348"/>
      <c r="H108" s="349"/>
      <c r="I108" s="252"/>
      <c r="J108" s="252"/>
    </row>
    <row r="109" spans="1:10" ht="17.75" customHeight="1">
      <c r="A109" s="350">
        <v>46093</v>
      </c>
      <c r="B109" s="344" t="s">
        <v>639</v>
      </c>
      <c r="C109" s="345" t="s">
        <v>818</v>
      </c>
      <c r="D109" s="346">
        <v>1770000</v>
      </c>
      <c r="E109" s="377" t="s">
        <v>835</v>
      </c>
      <c r="F109" s="357"/>
      <c r="G109" s="348"/>
      <c r="H109" s="361"/>
      <c r="I109" s="252"/>
      <c r="J109" s="252"/>
    </row>
    <row r="110" spans="1:10" ht="17.75" customHeight="1">
      <c r="A110" s="350">
        <v>46094</v>
      </c>
      <c r="B110" s="344" t="s">
        <v>254</v>
      </c>
      <c r="C110" s="345" t="s">
        <v>810</v>
      </c>
      <c r="D110" s="346"/>
      <c r="E110" s="377">
        <v>116612</v>
      </c>
      <c r="F110" s="357">
        <v>116612</v>
      </c>
      <c r="G110" s="348"/>
      <c r="H110" s="349"/>
      <c r="I110" s="252"/>
      <c r="J110" s="252"/>
    </row>
    <row r="111" spans="1:10" ht="17.75" customHeight="1">
      <c r="A111" s="375">
        <v>46094</v>
      </c>
      <c r="B111" s="344" t="s">
        <v>254</v>
      </c>
      <c r="C111" s="345" t="s">
        <v>812</v>
      </c>
      <c r="D111" s="346"/>
      <c r="E111" s="377">
        <v>267000</v>
      </c>
      <c r="F111" s="357">
        <v>267000</v>
      </c>
      <c r="G111" s="348"/>
      <c r="H111" s="349"/>
      <c r="I111" s="252"/>
      <c r="J111" s="252"/>
    </row>
    <row r="112" spans="1:10" ht="17.75" customHeight="1">
      <c r="A112" s="350">
        <v>46094</v>
      </c>
      <c r="B112" s="344" t="s">
        <v>450</v>
      </c>
      <c r="C112" s="345" t="s">
        <v>834</v>
      </c>
      <c r="D112" s="346"/>
      <c r="E112" s="377">
        <v>170000</v>
      </c>
      <c r="F112" s="508">
        <v>120000</v>
      </c>
      <c r="G112" s="348"/>
      <c r="H112" s="349"/>
      <c r="I112" s="424" t="s">
        <v>866</v>
      </c>
      <c r="J112" s="252"/>
    </row>
    <row r="113" spans="1:10" ht="17.75" customHeight="1">
      <c r="A113" s="350">
        <v>46094</v>
      </c>
      <c r="B113" s="344" t="s">
        <v>450</v>
      </c>
      <c r="C113" s="345" t="s">
        <v>841</v>
      </c>
      <c r="D113" s="346"/>
      <c r="E113" s="377">
        <v>197000</v>
      </c>
      <c r="F113" s="357">
        <v>197000</v>
      </c>
      <c r="G113" s="348"/>
      <c r="H113" s="358" t="s">
        <v>842</v>
      </c>
      <c r="I113" s="252"/>
      <c r="J113" s="252"/>
    </row>
    <row r="114" spans="1:10" ht="17.75" customHeight="1">
      <c r="A114" s="350">
        <v>46094</v>
      </c>
      <c r="B114" s="344" t="s">
        <v>518</v>
      </c>
      <c r="C114" s="403" t="s">
        <v>843</v>
      </c>
      <c r="D114" s="346"/>
      <c r="E114" s="377">
        <v>155000</v>
      </c>
      <c r="F114" s="357">
        <v>155000</v>
      </c>
      <c r="G114" s="348" t="s">
        <v>464</v>
      </c>
      <c r="H114" s="361" t="s">
        <v>845</v>
      </c>
      <c r="I114" s="252"/>
      <c r="J114" s="252"/>
    </row>
    <row r="115" spans="1:10" ht="17.75" customHeight="1">
      <c r="A115" s="350">
        <v>46095</v>
      </c>
      <c r="B115" s="344" t="s">
        <v>254</v>
      </c>
      <c r="C115" s="345" t="s">
        <v>811</v>
      </c>
      <c r="D115" s="346"/>
      <c r="E115" s="377">
        <v>35463</v>
      </c>
      <c r="F115" s="357">
        <v>35463</v>
      </c>
      <c r="G115" s="348"/>
      <c r="H115" s="349"/>
      <c r="I115" s="252"/>
      <c r="J115" s="252"/>
    </row>
    <row r="116" spans="1:10" ht="17.75" customHeight="1">
      <c r="A116" s="350">
        <v>46095</v>
      </c>
      <c r="B116" s="344" t="s">
        <v>450</v>
      </c>
      <c r="C116" s="345" t="s">
        <v>856</v>
      </c>
      <c r="D116" s="346"/>
      <c r="E116" s="377">
        <v>15000</v>
      </c>
      <c r="F116" s="357">
        <v>15000</v>
      </c>
      <c r="G116" s="348"/>
      <c r="H116" s="360"/>
      <c r="I116" s="402"/>
      <c r="J116" s="252"/>
    </row>
    <row r="117" spans="1:10" ht="17.75" customHeight="1">
      <c r="A117" s="350">
        <v>46096</v>
      </c>
      <c r="B117" s="344" t="s">
        <v>450</v>
      </c>
      <c r="C117" s="345" t="s">
        <v>847</v>
      </c>
      <c r="D117" s="346" t="s">
        <v>464</v>
      </c>
      <c r="E117" s="377">
        <v>13848</v>
      </c>
      <c r="F117" s="357">
        <v>13848</v>
      </c>
      <c r="G117" s="348"/>
      <c r="H117" s="358"/>
      <c r="I117" s="252"/>
      <c r="J117" s="252"/>
    </row>
    <row r="118" spans="1:10" ht="17.75" customHeight="1">
      <c r="A118" s="350">
        <v>46097</v>
      </c>
      <c r="B118" s="344" t="s">
        <v>254</v>
      </c>
      <c r="C118" s="345" t="s">
        <v>813</v>
      </c>
      <c r="D118" s="346"/>
      <c r="E118" s="377">
        <v>223000</v>
      </c>
      <c r="F118" s="357">
        <v>223000</v>
      </c>
      <c r="G118" s="348"/>
      <c r="H118" s="349"/>
      <c r="I118" s="252"/>
      <c r="J118" s="252"/>
    </row>
    <row r="119" spans="1:10" ht="17.75" customHeight="1">
      <c r="A119" s="350">
        <v>46097</v>
      </c>
      <c r="B119" s="344" t="s">
        <v>806</v>
      </c>
      <c r="C119" s="345" t="s">
        <v>850</v>
      </c>
      <c r="D119" s="346"/>
      <c r="E119" s="377">
        <v>90000</v>
      </c>
      <c r="F119" s="357">
        <v>90000</v>
      </c>
      <c r="G119" s="348"/>
      <c r="H119" s="360" t="s">
        <v>852</v>
      </c>
      <c r="I119" s="414" t="s">
        <v>853</v>
      </c>
      <c r="J119" s="320"/>
    </row>
    <row r="120" spans="1:10" ht="17.75" customHeight="1">
      <c r="A120" s="350">
        <v>46097</v>
      </c>
      <c r="B120" s="344" t="s">
        <v>639</v>
      </c>
      <c r="C120" s="345" t="s">
        <v>857</v>
      </c>
      <c r="D120" s="346">
        <v>1993000</v>
      </c>
      <c r="E120" s="377"/>
      <c r="F120" s="357"/>
      <c r="G120" s="348"/>
      <c r="H120" s="360"/>
      <c r="I120" s="402"/>
      <c r="J120" s="252"/>
    </row>
    <row r="121" spans="1:10" ht="17.75" customHeight="1">
      <c r="A121" s="375">
        <v>46098</v>
      </c>
      <c r="B121" s="344" t="s">
        <v>643</v>
      </c>
      <c r="C121" s="345" t="s">
        <v>844</v>
      </c>
      <c r="D121" s="346"/>
      <c r="E121" s="377">
        <v>440000</v>
      </c>
      <c r="F121" s="357">
        <v>440000</v>
      </c>
      <c r="G121" s="348"/>
      <c r="H121" s="348" t="s">
        <v>860</v>
      </c>
      <c r="I121" s="252"/>
      <c r="J121" s="252"/>
    </row>
    <row r="122" spans="1:10" ht="17.75" customHeight="1">
      <c r="A122" s="350">
        <v>46098</v>
      </c>
      <c r="B122" s="344" t="s">
        <v>450</v>
      </c>
      <c r="C122" s="345" t="s">
        <v>859</v>
      </c>
      <c r="D122" s="346"/>
      <c r="E122" s="377">
        <v>12000</v>
      </c>
      <c r="F122" s="357">
        <v>12000</v>
      </c>
      <c r="G122" s="348"/>
      <c r="H122" s="360"/>
      <c r="I122" s="402"/>
      <c r="J122" s="252"/>
    </row>
    <row r="123" spans="1:10" ht="17.75" customHeight="1">
      <c r="A123" s="350">
        <v>46098</v>
      </c>
      <c r="B123" s="344" t="s">
        <v>794</v>
      </c>
      <c r="C123" s="345" t="s">
        <v>843</v>
      </c>
      <c r="D123" s="346"/>
      <c r="E123" s="377">
        <v>28545</v>
      </c>
      <c r="F123" s="357">
        <v>28545</v>
      </c>
      <c r="G123" s="348"/>
      <c r="H123" s="360"/>
      <c r="I123" s="402"/>
      <c r="J123" s="252"/>
    </row>
    <row r="124" spans="1:10" ht="17.75" customHeight="1">
      <c r="A124" s="350">
        <v>46099</v>
      </c>
      <c r="B124" s="344" t="s">
        <v>806</v>
      </c>
      <c r="C124" s="345" t="s">
        <v>826</v>
      </c>
      <c r="D124" s="346"/>
      <c r="E124" s="377">
        <v>717590</v>
      </c>
      <c r="F124" s="357">
        <v>717590</v>
      </c>
      <c r="G124" s="348"/>
      <c r="H124" s="349"/>
      <c r="I124" s="252"/>
      <c r="J124" s="252"/>
    </row>
    <row r="125" spans="1:10" ht="17.75" customHeight="1">
      <c r="A125" s="313">
        <v>46099</v>
      </c>
      <c r="B125" s="344" t="s">
        <v>806</v>
      </c>
      <c r="C125" s="345" t="s">
        <v>851</v>
      </c>
      <c r="D125" s="346"/>
      <c r="E125" s="377">
        <v>50000</v>
      </c>
      <c r="F125" s="357">
        <v>50000</v>
      </c>
      <c r="G125" s="348"/>
      <c r="H125" s="360" t="s">
        <v>852</v>
      </c>
      <c r="I125" s="252"/>
      <c r="J125" s="252"/>
    </row>
    <row r="126" spans="1:10" ht="17.75" customHeight="1">
      <c r="A126" s="350">
        <v>46099</v>
      </c>
      <c r="B126" s="344" t="s">
        <v>450</v>
      </c>
      <c r="C126" s="345" t="s">
        <v>779</v>
      </c>
      <c r="D126" s="346"/>
      <c r="E126" s="435">
        <v>42000</v>
      </c>
      <c r="F126" s="357">
        <v>40000</v>
      </c>
      <c r="G126" s="348"/>
      <c r="H126" s="360" t="s">
        <v>873</v>
      </c>
      <c r="I126" s="402"/>
      <c r="J126" s="252"/>
    </row>
    <row r="127" spans="1:10" ht="17.75" customHeight="1">
      <c r="A127" s="405">
        <v>46099</v>
      </c>
      <c r="B127" s="406" t="s">
        <v>450</v>
      </c>
      <c r="C127" s="407" t="s">
        <v>867</v>
      </c>
      <c r="D127" s="408"/>
      <c r="E127" s="434">
        <v>75000</v>
      </c>
      <c r="F127" s="410">
        <v>25000</v>
      </c>
      <c r="G127" s="411"/>
      <c r="H127" s="412" t="s">
        <v>872</v>
      </c>
      <c r="I127" s="402"/>
      <c r="J127" s="252"/>
    </row>
    <row r="128" spans="1:10" ht="17.75" customHeight="1">
      <c r="A128" s="405">
        <v>46099</v>
      </c>
      <c r="B128" s="406" t="s">
        <v>450</v>
      </c>
      <c r="C128" s="407" t="s">
        <v>868</v>
      </c>
      <c r="D128" s="408"/>
      <c r="E128" s="434">
        <v>75000</v>
      </c>
      <c r="F128" s="410">
        <v>75000</v>
      </c>
      <c r="G128" s="411"/>
      <c r="H128" s="412"/>
      <c r="I128" s="402"/>
      <c r="J128" s="252"/>
    </row>
    <row r="129" spans="1:10" ht="17.75" customHeight="1">
      <c r="A129" s="405">
        <v>46099</v>
      </c>
      <c r="B129" s="406" t="s">
        <v>639</v>
      </c>
      <c r="C129" s="433" t="s">
        <v>818</v>
      </c>
      <c r="D129" s="408">
        <v>1455000</v>
      </c>
      <c r="E129" s="409"/>
      <c r="F129" s="410"/>
      <c r="G129" s="411"/>
      <c r="H129" s="412"/>
      <c r="I129" s="402"/>
      <c r="J129" s="252"/>
    </row>
    <row r="130" spans="1:10" ht="17.75" customHeight="1">
      <c r="A130" s="350">
        <v>46099</v>
      </c>
      <c r="B130" s="344" t="s">
        <v>639</v>
      </c>
      <c r="C130" s="374" t="s">
        <v>869</v>
      </c>
      <c r="D130" s="346">
        <v>45360</v>
      </c>
      <c r="E130" s="377"/>
      <c r="F130" s="357"/>
      <c r="G130" s="348"/>
      <c r="H130" s="360"/>
      <c r="I130" s="402"/>
      <c r="J130" s="252"/>
    </row>
    <row r="131" spans="1:10" ht="17.75" customHeight="1">
      <c r="A131" s="405">
        <v>46099</v>
      </c>
      <c r="B131" s="406" t="s">
        <v>454</v>
      </c>
      <c r="C131" s="407" t="s">
        <v>870</v>
      </c>
      <c r="D131" s="408"/>
      <c r="E131" s="409">
        <v>28159.85</v>
      </c>
      <c r="F131" s="410">
        <v>28159.85</v>
      </c>
      <c r="G131" s="411"/>
      <c r="H131" s="412" t="s">
        <v>871</v>
      </c>
      <c r="I131" s="402"/>
      <c r="J131" s="252"/>
    </row>
    <row r="132" spans="1:10" ht="17.75" customHeight="1">
      <c r="A132" s="405">
        <v>46099</v>
      </c>
      <c r="B132" s="406" t="s">
        <v>639</v>
      </c>
      <c r="C132" s="433" t="s">
        <v>874</v>
      </c>
      <c r="D132" s="408">
        <v>251573</v>
      </c>
      <c r="E132" s="432"/>
      <c r="F132" s="410"/>
      <c r="G132" s="411"/>
      <c r="H132" s="412"/>
      <c r="I132" s="402"/>
      <c r="J132" s="252"/>
    </row>
    <row r="133" spans="1:10" ht="17.75" customHeight="1">
      <c r="A133" s="405">
        <v>46099</v>
      </c>
      <c r="B133" s="406" t="s">
        <v>639</v>
      </c>
      <c r="C133" s="433" t="s">
        <v>875</v>
      </c>
      <c r="D133" s="408">
        <v>600000</v>
      </c>
      <c r="E133" s="409"/>
      <c r="F133" s="410">
        <v>0</v>
      </c>
      <c r="G133" s="411">
        <f>G110+F133-D133</f>
        <v>-600000</v>
      </c>
      <c r="H133" s="413"/>
      <c r="I133" s="252"/>
      <c r="J133" s="252"/>
    </row>
    <row r="134" spans="1:10" ht="17.75" customHeight="1">
      <c r="A134" s="405">
        <v>46101</v>
      </c>
      <c r="B134" s="406" t="s">
        <v>254</v>
      </c>
      <c r="C134" s="407" t="s">
        <v>821</v>
      </c>
      <c r="D134" s="408"/>
      <c r="E134" s="409">
        <v>863000</v>
      </c>
      <c r="F134" s="410">
        <v>863000</v>
      </c>
      <c r="G134" s="411"/>
      <c r="H134" s="413"/>
      <c r="I134" s="252"/>
      <c r="J134" s="252"/>
    </row>
    <row r="135" spans="1:10" ht="17.75" customHeight="1">
      <c r="A135" s="405">
        <v>46101</v>
      </c>
      <c r="B135" s="406" t="s">
        <v>660</v>
      </c>
      <c r="C135" s="407" t="s">
        <v>858</v>
      </c>
      <c r="D135" s="408"/>
      <c r="E135" s="409">
        <v>50000</v>
      </c>
      <c r="F135" s="410">
        <v>50000</v>
      </c>
      <c r="G135" s="411"/>
      <c r="H135" s="412"/>
      <c r="I135" s="402"/>
      <c r="J135" s="252"/>
    </row>
    <row r="136" spans="1:10" ht="17.75" customHeight="1">
      <c r="A136" s="405">
        <v>46104</v>
      </c>
      <c r="B136" s="406" t="s">
        <v>450</v>
      </c>
      <c r="C136" s="407" t="s">
        <v>832</v>
      </c>
      <c r="D136" s="408"/>
      <c r="E136" s="409">
        <v>415000</v>
      </c>
      <c r="F136" s="410">
        <v>415000</v>
      </c>
      <c r="G136" s="411"/>
      <c r="H136" s="413"/>
      <c r="I136" s="252"/>
      <c r="J136" s="252"/>
    </row>
    <row r="137" spans="1:10" ht="17.75" customHeight="1">
      <c r="A137" s="405">
        <v>46104</v>
      </c>
      <c r="B137" s="406" t="s">
        <v>806</v>
      </c>
      <c r="C137" s="407" t="s">
        <v>849</v>
      </c>
      <c r="D137" s="408"/>
      <c r="E137" s="409"/>
      <c r="F137" s="410"/>
      <c r="G137" s="411"/>
      <c r="H137" s="412"/>
      <c r="I137" s="402"/>
      <c r="J137" s="252"/>
    </row>
    <row r="138" spans="1:10" ht="17.75" customHeight="1">
      <c r="A138" s="405">
        <v>46104</v>
      </c>
      <c r="B138" s="406" t="s">
        <v>806</v>
      </c>
      <c r="C138" s="407" t="s">
        <v>399</v>
      </c>
      <c r="D138" s="408"/>
      <c r="E138" s="409"/>
      <c r="F138" s="410"/>
      <c r="G138" s="411"/>
      <c r="H138" s="412"/>
      <c r="I138" s="402"/>
      <c r="J138" s="252"/>
    </row>
    <row r="139" spans="1:10" ht="17.75" customHeight="1">
      <c r="A139" s="415">
        <v>46106</v>
      </c>
      <c r="B139" s="416" t="s">
        <v>254</v>
      </c>
      <c r="C139" s="417" t="s">
        <v>709</v>
      </c>
      <c r="D139" s="418"/>
      <c r="E139" s="419">
        <v>782000</v>
      </c>
      <c r="F139" s="420">
        <v>782000</v>
      </c>
      <c r="G139" s="421"/>
      <c r="H139" s="423"/>
      <c r="I139" s="252"/>
      <c r="J139" s="252"/>
    </row>
    <row r="140" spans="1:10" ht="17.75" customHeight="1">
      <c r="A140" s="415">
        <v>46106</v>
      </c>
      <c r="B140" s="416" t="s">
        <v>838</v>
      </c>
      <c r="C140" s="417" t="s">
        <v>877</v>
      </c>
      <c r="D140" s="418"/>
      <c r="E140" s="419">
        <v>50000</v>
      </c>
      <c r="F140" s="420">
        <v>50000</v>
      </c>
      <c r="G140" s="421"/>
      <c r="H140" s="422" t="s">
        <v>846</v>
      </c>
      <c r="I140" s="402"/>
      <c r="J140" s="402"/>
    </row>
    <row r="141" spans="1:10" ht="17.75" customHeight="1">
      <c r="A141" s="415">
        <v>46106</v>
      </c>
      <c r="B141" s="416" t="s">
        <v>806</v>
      </c>
      <c r="C141" s="417" t="s">
        <v>848</v>
      </c>
      <c r="D141" s="418"/>
      <c r="E141" s="386">
        <v>466000</v>
      </c>
      <c r="F141" s="420">
        <v>466000</v>
      </c>
      <c r="G141" s="421"/>
      <c r="H141" s="422"/>
      <c r="I141" s="402"/>
      <c r="J141" s="252"/>
    </row>
    <row r="142" spans="1:10" ht="17.75" customHeight="1">
      <c r="A142" s="415">
        <v>46106</v>
      </c>
      <c r="B142" s="416" t="s">
        <v>538</v>
      </c>
      <c r="C142" s="417" t="s">
        <v>861</v>
      </c>
      <c r="D142" s="418"/>
      <c r="E142" s="419">
        <v>25315</v>
      </c>
      <c r="F142" s="420">
        <v>25315</v>
      </c>
      <c r="G142" s="421"/>
      <c r="H142" s="422"/>
      <c r="I142" s="402"/>
      <c r="J142" s="252"/>
    </row>
    <row r="143" spans="1:10" ht="17.75" customHeight="1">
      <c r="A143" s="415">
        <v>46106</v>
      </c>
      <c r="B143" s="416" t="s">
        <v>806</v>
      </c>
      <c r="C143" s="417" t="s">
        <v>876</v>
      </c>
      <c r="D143" s="418"/>
      <c r="E143" s="436">
        <v>48452</v>
      </c>
      <c r="F143" s="420">
        <v>48452</v>
      </c>
      <c r="G143" s="421"/>
      <c r="H143" s="422"/>
      <c r="I143" s="402"/>
      <c r="J143" s="252"/>
    </row>
    <row r="144" spans="1:10" ht="17.75" customHeight="1">
      <c r="A144" s="415">
        <v>46106</v>
      </c>
      <c r="B144" s="416" t="s">
        <v>639</v>
      </c>
      <c r="C144" s="417" t="s">
        <v>885</v>
      </c>
      <c r="D144" s="418">
        <v>2802000</v>
      </c>
      <c r="E144" s="436"/>
      <c r="F144" s="420"/>
      <c r="G144" s="421"/>
      <c r="H144" s="422"/>
      <c r="I144" s="402"/>
      <c r="J144" s="252"/>
    </row>
    <row r="145" spans="1:10" ht="17.75" customHeight="1">
      <c r="A145" s="415">
        <v>46107</v>
      </c>
      <c r="B145" s="416" t="s">
        <v>538</v>
      </c>
      <c r="C145" s="417" t="s">
        <v>862</v>
      </c>
      <c r="D145" s="418"/>
      <c r="E145" s="419">
        <f>22420</f>
        <v>22420</v>
      </c>
      <c r="F145" s="420">
        <v>22420</v>
      </c>
      <c r="G145" s="421"/>
      <c r="H145" s="422"/>
      <c r="I145" s="402"/>
      <c r="J145" s="252"/>
    </row>
    <row r="146" spans="1:10" ht="17.75" customHeight="1">
      <c r="A146" s="415">
        <v>46107</v>
      </c>
      <c r="B146" s="416" t="s">
        <v>538</v>
      </c>
      <c r="C146" s="417" t="s">
        <v>864</v>
      </c>
      <c r="D146" s="418"/>
      <c r="E146" s="419">
        <v>9682</v>
      </c>
      <c r="F146" s="420">
        <v>9682</v>
      </c>
      <c r="G146" s="421"/>
      <c r="H146" s="422"/>
      <c r="I146" s="402"/>
      <c r="J146" s="252"/>
    </row>
    <row r="147" spans="1:10" ht="17.75" customHeight="1">
      <c r="A147" s="415">
        <v>46107</v>
      </c>
      <c r="B147" s="416" t="s">
        <v>538</v>
      </c>
      <c r="C147" s="417" t="s">
        <v>878</v>
      </c>
      <c r="D147" s="418"/>
      <c r="E147" s="436">
        <v>236976.62</v>
      </c>
      <c r="F147" s="420">
        <v>236976.62</v>
      </c>
      <c r="G147" s="421"/>
      <c r="H147" s="422"/>
      <c r="I147" s="402"/>
      <c r="J147" s="252"/>
    </row>
    <row r="148" spans="1:10" ht="17.75" customHeight="1">
      <c r="A148" s="415">
        <v>46107</v>
      </c>
      <c r="B148" s="416" t="s">
        <v>450</v>
      </c>
      <c r="C148" s="417" t="s">
        <v>882</v>
      </c>
      <c r="D148" s="418"/>
      <c r="E148" s="436">
        <v>39650</v>
      </c>
      <c r="F148" s="420">
        <v>39650</v>
      </c>
      <c r="G148" s="421"/>
      <c r="H148" s="422"/>
      <c r="I148" s="402"/>
      <c r="J148" s="252"/>
    </row>
    <row r="149" spans="1:10" ht="17.75" customHeight="1">
      <c r="A149" s="415">
        <v>46107</v>
      </c>
      <c r="B149" s="416" t="s">
        <v>450</v>
      </c>
      <c r="C149" s="505" t="s">
        <v>883</v>
      </c>
      <c r="D149" s="418"/>
      <c r="E149" s="436">
        <v>74000</v>
      </c>
      <c r="F149" s="420">
        <v>74000</v>
      </c>
      <c r="G149" s="421"/>
      <c r="H149" s="422"/>
      <c r="I149" s="402"/>
      <c r="J149" s="252"/>
    </row>
    <row r="150" spans="1:10" ht="17.75" customHeight="1">
      <c r="A150" s="405">
        <v>46107</v>
      </c>
      <c r="B150" s="406" t="s">
        <v>450</v>
      </c>
      <c r="C150" s="407" t="s">
        <v>884</v>
      </c>
      <c r="D150" s="408"/>
      <c r="E150" s="434">
        <v>17000</v>
      </c>
      <c r="F150" s="410">
        <v>17000</v>
      </c>
      <c r="G150" s="411"/>
      <c r="H150" s="412"/>
      <c r="I150" s="402"/>
      <c r="J150" s="252"/>
    </row>
    <row r="151" spans="1:10" ht="17.75" customHeight="1">
      <c r="A151" s="415">
        <v>46107</v>
      </c>
      <c r="B151" s="416" t="s">
        <v>450</v>
      </c>
      <c r="C151" s="417" t="s">
        <v>886</v>
      </c>
      <c r="D151" s="418"/>
      <c r="E151" s="436">
        <v>173000</v>
      </c>
      <c r="F151" s="454">
        <v>173000</v>
      </c>
      <c r="G151" s="421"/>
      <c r="H151" s="422"/>
      <c r="I151" s="402"/>
      <c r="J151" s="252"/>
    </row>
    <row r="152" spans="1:10" ht="17.75" customHeight="1">
      <c r="A152" s="415">
        <v>46107</v>
      </c>
      <c r="B152" s="416" t="s">
        <v>450</v>
      </c>
      <c r="C152" s="417" t="s">
        <v>888</v>
      </c>
      <c r="D152" s="418"/>
      <c r="E152" s="436">
        <v>42000</v>
      </c>
      <c r="F152" s="420">
        <v>42000</v>
      </c>
      <c r="G152" s="421"/>
      <c r="H152" s="422"/>
      <c r="I152" s="402"/>
      <c r="J152" s="252"/>
    </row>
    <row r="153" spans="1:10" ht="17.75" customHeight="1">
      <c r="A153" s="437">
        <v>46108</v>
      </c>
      <c r="B153" s="438" t="s">
        <v>450</v>
      </c>
      <c r="C153" s="439" t="s">
        <v>880</v>
      </c>
      <c r="D153" s="440"/>
      <c r="E153" s="441">
        <v>194000</v>
      </c>
      <c r="F153" s="442">
        <v>194000</v>
      </c>
      <c r="G153" s="443"/>
      <c r="H153" s="444" t="s">
        <v>881</v>
      </c>
      <c r="I153" s="402"/>
      <c r="J153" s="252"/>
    </row>
    <row r="154" spans="1:10" ht="17.75" customHeight="1">
      <c r="A154" s="437">
        <v>46108</v>
      </c>
      <c r="B154" s="438" t="s">
        <v>450</v>
      </c>
      <c r="C154" s="439" t="s">
        <v>893</v>
      </c>
      <c r="D154" s="440"/>
      <c r="E154" s="441">
        <v>135000</v>
      </c>
      <c r="F154" s="442">
        <v>135000</v>
      </c>
      <c r="G154" s="443"/>
      <c r="H154" s="444"/>
      <c r="I154" s="402"/>
      <c r="J154" s="252"/>
    </row>
    <row r="155" spans="1:10" ht="17.75" customHeight="1">
      <c r="A155" s="437">
        <v>46108</v>
      </c>
      <c r="B155" s="438" t="s">
        <v>450</v>
      </c>
      <c r="C155" s="439" t="s">
        <v>836</v>
      </c>
      <c r="D155" s="440"/>
      <c r="E155" s="441">
        <v>20000</v>
      </c>
      <c r="F155" s="404">
        <v>20000</v>
      </c>
      <c r="G155" s="443"/>
      <c r="H155" s="444"/>
      <c r="I155" s="402"/>
      <c r="J155" s="252"/>
    </row>
    <row r="156" spans="1:10" ht="17.75" customHeight="1">
      <c r="A156" s="437">
        <v>46112</v>
      </c>
      <c r="B156" s="438" t="s">
        <v>450</v>
      </c>
      <c r="C156" s="447" t="s">
        <v>834</v>
      </c>
      <c r="D156" s="440"/>
      <c r="E156" s="506"/>
      <c r="F156" s="442"/>
      <c r="G156" s="443"/>
      <c r="H156" s="507"/>
      <c r="I156" s="252"/>
      <c r="J156" s="252"/>
    </row>
    <row r="157" spans="1:10" ht="17.75" customHeight="1">
      <c r="A157" s="445">
        <v>46112</v>
      </c>
      <c r="B157" s="446" t="s">
        <v>625</v>
      </c>
      <c r="C157" s="300" t="s">
        <v>854</v>
      </c>
      <c r="D157" s="448"/>
      <c r="E157" s="453">
        <v>78000</v>
      </c>
      <c r="F157" s="450">
        <v>78000</v>
      </c>
      <c r="G157" s="451"/>
      <c r="H157" s="452"/>
      <c r="I157" s="402"/>
      <c r="J157" s="252"/>
    </row>
    <row r="158" spans="1:10" ht="17.75" customHeight="1">
      <c r="A158" s="445">
        <v>46112</v>
      </c>
      <c r="B158" s="446" t="s">
        <v>822</v>
      </c>
      <c r="C158" s="447" t="s">
        <v>823</v>
      </c>
      <c r="D158" s="448"/>
      <c r="E158" s="453">
        <v>527000</v>
      </c>
      <c r="F158" s="449">
        <v>527000</v>
      </c>
      <c r="G158" s="451"/>
      <c r="H158" s="455"/>
      <c r="I158" s="252"/>
      <c r="J158" s="252"/>
    </row>
    <row r="159" spans="1:10" ht="17.75" customHeight="1">
      <c r="A159" s="445">
        <v>46112</v>
      </c>
      <c r="B159" s="446" t="s">
        <v>838</v>
      </c>
      <c r="C159" s="447" t="s">
        <v>839</v>
      </c>
      <c r="D159" s="448"/>
      <c r="E159" s="453">
        <v>157000</v>
      </c>
      <c r="F159" s="450">
        <v>157000</v>
      </c>
      <c r="G159" s="451"/>
      <c r="H159" s="452" t="s">
        <v>840</v>
      </c>
      <c r="I159" s="402" t="s">
        <v>887</v>
      </c>
      <c r="J159" s="252"/>
    </row>
    <row r="160" spans="1:10" ht="17.75" customHeight="1">
      <c r="A160" s="445">
        <v>46112</v>
      </c>
      <c r="B160" s="446" t="s">
        <v>625</v>
      </c>
      <c r="C160" s="447" t="s">
        <v>855</v>
      </c>
      <c r="D160" s="448" t="s">
        <v>464</v>
      </c>
      <c r="E160" s="453"/>
      <c r="F160" s="450"/>
      <c r="G160" s="451"/>
      <c r="H160" s="452"/>
      <c r="I160" s="402"/>
      <c r="J160" s="252"/>
    </row>
    <row r="161" spans="1:10" ht="17.75" customHeight="1">
      <c r="A161" s="445">
        <v>46112</v>
      </c>
      <c r="B161" s="446" t="s">
        <v>538</v>
      </c>
      <c r="C161" s="447" t="s">
        <v>863</v>
      </c>
      <c r="D161" s="448"/>
      <c r="E161" s="449">
        <v>42500</v>
      </c>
      <c r="F161" s="450">
        <v>42500</v>
      </c>
      <c r="G161" s="451"/>
      <c r="H161" s="452"/>
      <c r="I161" s="402"/>
      <c r="J161" s="252"/>
    </row>
    <row r="162" spans="1:10" ht="17.75" customHeight="1">
      <c r="A162" s="445">
        <v>46112</v>
      </c>
      <c r="B162" s="446" t="s">
        <v>481</v>
      </c>
      <c r="C162" s="447" t="s">
        <v>865</v>
      </c>
      <c r="D162" s="448"/>
      <c r="E162" s="453">
        <v>3345</v>
      </c>
      <c r="F162" s="450">
        <v>3345</v>
      </c>
      <c r="G162" s="451"/>
      <c r="H162" s="452"/>
      <c r="I162" s="402"/>
      <c r="J162" s="252"/>
    </row>
    <row r="163" spans="1:10" ht="17.75" customHeight="1">
      <c r="A163" s="445">
        <v>46112</v>
      </c>
      <c r="B163" s="446" t="s">
        <v>481</v>
      </c>
      <c r="C163" s="447" t="s">
        <v>879</v>
      </c>
      <c r="D163" s="448"/>
      <c r="E163" s="449">
        <v>820000</v>
      </c>
      <c r="F163" s="450">
        <v>820000</v>
      </c>
      <c r="G163" s="451"/>
      <c r="H163" s="452"/>
      <c r="I163" s="402"/>
      <c r="J163" s="252"/>
    </row>
    <row r="164" spans="1:10" ht="17.75" customHeight="1">
      <c r="A164" s="445">
        <v>46112</v>
      </c>
      <c r="B164" s="446" t="s">
        <v>660</v>
      </c>
      <c r="C164" s="447" t="s">
        <v>889</v>
      </c>
      <c r="D164" s="448"/>
      <c r="E164" s="449">
        <v>100000</v>
      </c>
      <c r="F164" s="450">
        <v>100000</v>
      </c>
      <c r="G164" s="451"/>
      <c r="H164" s="452"/>
      <c r="I164" s="402"/>
      <c r="J164" s="252"/>
    </row>
    <row r="165" spans="1:10" ht="17.75" customHeight="1">
      <c r="A165" s="445">
        <v>46112</v>
      </c>
      <c r="B165" s="446" t="s">
        <v>288</v>
      </c>
      <c r="C165" s="447" t="s">
        <v>892</v>
      </c>
      <c r="D165" s="448"/>
      <c r="E165" s="449"/>
      <c r="F165" s="450"/>
      <c r="G165" s="451"/>
      <c r="H165" s="452"/>
      <c r="I165" s="402"/>
      <c r="J165" s="252"/>
    </row>
    <row r="166" spans="1:10" ht="17.75" customHeight="1">
      <c r="A166" s="445">
        <v>46112</v>
      </c>
      <c r="B166" s="446" t="s">
        <v>660</v>
      </c>
      <c r="C166" s="447" t="s">
        <v>891</v>
      </c>
      <c r="D166" s="448"/>
      <c r="E166" s="449">
        <v>50000</v>
      </c>
      <c r="F166" s="450">
        <v>50000</v>
      </c>
      <c r="G166" s="451"/>
      <c r="H166" s="452"/>
      <c r="I166" s="402"/>
      <c r="J166" s="252"/>
    </row>
    <row r="167" spans="1:10" ht="17.75" customHeight="1">
      <c r="A167" s="445">
        <v>46112</v>
      </c>
      <c r="B167" s="446" t="s">
        <v>660</v>
      </c>
      <c r="C167" s="447" t="s">
        <v>890</v>
      </c>
      <c r="D167" s="448"/>
      <c r="E167" s="449">
        <v>60000</v>
      </c>
      <c r="F167" s="450">
        <v>60000</v>
      </c>
      <c r="G167" s="451"/>
      <c r="H167" s="452"/>
      <c r="I167" s="402"/>
      <c r="J167" s="252"/>
    </row>
    <row r="168" spans="1:10" ht="17.75" customHeight="1">
      <c r="A168" s="445">
        <v>46112</v>
      </c>
      <c r="B168" s="446" t="s">
        <v>254</v>
      </c>
      <c r="C168" s="447" t="s">
        <v>337</v>
      </c>
      <c r="D168" s="448"/>
      <c r="E168" s="449">
        <v>367000</v>
      </c>
      <c r="F168" s="450">
        <v>367000</v>
      </c>
      <c r="G168" s="451"/>
      <c r="H168" s="452"/>
      <c r="I168" s="402"/>
      <c r="J168" s="252"/>
    </row>
    <row r="169" spans="1:10" ht="17.75" customHeight="1">
      <c r="A169" s="445">
        <v>46112</v>
      </c>
      <c r="B169" s="446" t="s">
        <v>908</v>
      </c>
      <c r="C169" s="447" t="s">
        <v>909</v>
      </c>
      <c r="D169" s="448"/>
      <c r="E169" s="449">
        <v>14682.05</v>
      </c>
      <c r="F169" s="450">
        <v>14682.05</v>
      </c>
      <c r="G169" s="451"/>
      <c r="H169" s="452"/>
      <c r="I169" s="402"/>
      <c r="J169" s="252"/>
    </row>
    <row r="170" spans="1:10" ht="17.75" customHeight="1">
      <c r="A170" s="445">
        <v>46112</v>
      </c>
      <c r="B170" s="446" t="s">
        <v>806</v>
      </c>
      <c r="C170" s="447" t="s">
        <v>810</v>
      </c>
      <c r="D170" s="448"/>
      <c r="E170" s="449"/>
      <c r="F170" s="450"/>
      <c r="G170" s="451"/>
      <c r="H170" s="452"/>
      <c r="I170" s="402"/>
      <c r="J170" s="252"/>
    </row>
    <row r="171" spans="1:10" ht="17.75" customHeight="1">
      <c r="A171" s="445">
        <v>46112</v>
      </c>
      <c r="B171" s="446" t="s">
        <v>450</v>
      </c>
      <c r="C171" s="447" t="s">
        <v>911</v>
      </c>
      <c r="D171" s="448"/>
      <c r="E171" s="449">
        <v>17000</v>
      </c>
      <c r="F171" s="450">
        <v>17000</v>
      </c>
      <c r="G171" s="451"/>
      <c r="H171" s="452"/>
      <c r="I171" s="402"/>
      <c r="J171" s="252"/>
    </row>
    <row r="172" spans="1:10" ht="17.75" customHeight="1">
      <c r="A172" s="509">
        <v>46112</v>
      </c>
      <c r="B172" s="510" t="s">
        <v>450</v>
      </c>
      <c r="C172" s="511" t="s">
        <v>912</v>
      </c>
      <c r="D172" s="512"/>
      <c r="E172" s="513">
        <v>35156</v>
      </c>
      <c r="F172" s="514">
        <v>35156</v>
      </c>
      <c r="G172" s="515"/>
      <c r="H172" s="516"/>
      <c r="I172" s="402"/>
      <c r="J172" s="252"/>
    </row>
    <row r="173" spans="1:10" ht="17.75" customHeight="1">
      <c r="A173" s="445">
        <v>46112</v>
      </c>
      <c r="B173" s="446" t="s">
        <v>908</v>
      </c>
      <c r="C173" s="447" t="s">
        <v>823</v>
      </c>
      <c r="D173" s="448"/>
      <c r="E173" s="449">
        <v>59156.78</v>
      </c>
      <c r="F173" s="450">
        <v>59156.78</v>
      </c>
      <c r="G173" s="451"/>
      <c r="H173" s="452"/>
      <c r="I173" s="402"/>
      <c r="J173" s="252"/>
    </row>
    <row r="174" spans="1:10" ht="17.75" customHeight="1">
      <c r="A174" s="509">
        <v>46112</v>
      </c>
      <c r="B174" s="510" t="s">
        <v>450</v>
      </c>
      <c r="C174" s="511" t="s">
        <v>913</v>
      </c>
      <c r="D174" s="512"/>
      <c r="E174" s="513">
        <v>13196.95</v>
      </c>
      <c r="F174" s="514">
        <v>13196.95</v>
      </c>
      <c r="G174" s="515"/>
      <c r="H174" s="516"/>
      <c r="I174" s="402"/>
      <c r="J174" s="252"/>
    </row>
    <row r="175" spans="1:10" ht="17.75" customHeight="1">
      <c r="A175" s="509">
        <v>46112</v>
      </c>
      <c r="B175" s="510" t="s">
        <v>625</v>
      </c>
      <c r="C175" s="511" t="s">
        <v>914</v>
      </c>
      <c r="D175" s="512">
        <v>1320000</v>
      </c>
      <c r="E175" s="513"/>
      <c r="F175" s="514"/>
      <c r="G175" s="515"/>
      <c r="H175" s="516"/>
      <c r="I175" s="402"/>
      <c r="J175" s="252"/>
    </row>
    <row r="176" spans="1:10" ht="17.75" customHeight="1">
      <c r="A176" s="509">
        <v>46112</v>
      </c>
      <c r="B176" s="510" t="s">
        <v>450</v>
      </c>
      <c r="C176" s="511" t="s">
        <v>915</v>
      </c>
      <c r="D176" s="512"/>
      <c r="E176" s="513"/>
      <c r="F176" s="514"/>
      <c r="G176" s="515"/>
      <c r="H176" s="516"/>
      <c r="I176" s="402"/>
      <c r="J176" s="252"/>
    </row>
    <row r="177" spans="1:10" ht="17.75" customHeight="1">
      <c r="A177" s="350">
        <v>46112</v>
      </c>
      <c r="B177" s="344" t="s">
        <v>254</v>
      </c>
      <c r="C177" s="345" t="s">
        <v>910</v>
      </c>
      <c r="D177" s="346"/>
      <c r="E177" s="435">
        <v>84000</v>
      </c>
      <c r="F177" s="357">
        <v>84000</v>
      </c>
      <c r="G177" s="348"/>
      <c r="H177" s="360"/>
      <c r="I177" s="402"/>
      <c r="J177" s="252"/>
    </row>
    <row r="178" spans="1:10">
      <c r="A178" s="314"/>
      <c r="B178" s="286"/>
      <c r="C178" s="314"/>
      <c r="D178" s="326" t="s">
        <v>819</v>
      </c>
      <c r="E178" s="378" t="s">
        <v>373</v>
      </c>
      <c r="F178" s="314"/>
      <c r="G178" s="286" t="s">
        <v>226</v>
      </c>
      <c r="H178" s="314"/>
      <c r="I178" s="252"/>
      <c r="J178" s="252"/>
    </row>
    <row r="179" spans="1:10">
      <c r="A179" s="315"/>
      <c r="B179" s="316"/>
      <c r="C179" s="323"/>
      <c r="D179" s="331">
        <f>SUM(D87:D178)</f>
        <v>16299080.57</v>
      </c>
      <c r="E179" s="379">
        <f>SUM(E87:E178)</f>
        <v>16805558.629999995</v>
      </c>
      <c r="F179" s="332">
        <f>SUM(F87:F178)</f>
        <v>16703558.629999997</v>
      </c>
      <c r="G179" s="337">
        <f>D179-E179</f>
        <v>-506478.05999999493</v>
      </c>
      <c r="H179" s="323"/>
      <c r="I179" s="252"/>
      <c r="J179" s="252"/>
    </row>
    <row r="180" spans="1:10">
      <c r="A180" s="373"/>
      <c r="B180" s="425"/>
      <c r="C180" s="373"/>
      <c r="D180" s="373"/>
      <c r="E180" s="380"/>
      <c r="F180" s="373"/>
      <c r="G180" s="373"/>
      <c r="H180" s="373"/>
      <c r="I180" s="373"/>
      <c r="J180" s="373"/>
    </row>
    <row r="181" spans="1:10">
      <c r="A181" s="373"/>
      <c r="B181" s="425"/>
      <c r="C181" s="373"/>
      <c r="D181" s="373"/>
      <c r="E181" s="380"/>
      <c r="F181" s="373"/>
      <c r="G181" s="373"/>
      <c r="H181" s="373"/>
      <c r="I181" s="373"/>
      <c r="J181" s="373"/>
    </row>
    <row r="182" spans="1:10">
      <c r="A182" s="373"/>
      <c r="B182" s="425"/>
      <c r="C182" s="373"/>
      <c r="D182" s="373"/>
      <c r="E182" s="380"/>
      <c r="F182" s="373"/>
      <c r="G182" s="373"/>
      <c r="H182" s="373"/>
      <c r="I182" s="373"/>
      <c r="J182" s="373"/>
    </row>
    <row r="206" spans="1:10" ht="22.5" customHeight="1">
      <c r="A206" s="237" t="s">
        <v>24</v>
      </c>
      <c r="B206" s="238" t="s">
        <v>363</v>
      </c>
      <c r="C206" s="239" t="s">
        <v>364</v>
      </c>
      <c r="D206" s="240" t="s">
        <v>365</v>
      </c>
      <c r="E206" s="376" t="s">
        <v>366</v>
      </c>
      <c r="F206" s="240" t="s">
        <v>398</v>
      </c>
      <c r="G206" s="240" t="s">
        <v>367</v>
      </c>
      <c r="H206" s="241" t="s">
        <v>27</v>
      </c>
      <c r="I206" s="242" t="s">
        <v>320</v>
      </c>
      <c r="J206" s="243">
        <f>G244</f>
        <v>4713918.34</v>
      </c>
    </row>
    <row r="207" spans="1:10" ht="17.75" customHeight="1">
      <c r="A207" s="350">
        <v>46038</v>
      </c>
      <c r="B207" s="344"/>
      <c r="C207" s="345" t="s">
        <v>733</v>
      </c>
      <c r="D207" s="346">
        <v>2340000</v>
      </c>
      <c r="E207" s="377"/>
      <c r="F207" s="357"/>
      <c r="G207" s="348"/>
      <c r="H207" s="349"/>
      <c r="I207" s="252"/>
      <c r="J207" s="252"/>
    </row>
    <row r="208" spans="1:10" ht="17.75" customHeight="1">
      <c r="A208" s="350">
        <v>46038</v>
      </c>
      <c r="B208" s="344" t="s">
        <v>450</v>
      </c>
      <c r="C208" s="345" t="s">
        <v>580</v>
      </c>
      <c r="D208" s="346"/>
      <c r="E208" s="377">
        <v>15000</v>
      </c>
      <c r="F208" s="357">
        <v>0</v>
      </c>
      <c r="G208" s="348">
        <f>D207+G207+F208-D208</f>
        <v>2340000</v>
      </c>
      <c r="H208" s="358"/>
      <c r="I208" s="252"/>
      <c r="J208" s="252"/>
    </row>
    <row r="209" spans="1:10" ht="17.75" customHeight="1">
      <c r="A209" s="350">
        <v>46051</v>
      </c>
      <c r="B209" s="344" t="s">
        <v>256</v>
      </c>
      <c r="C209" s="345" t="s">
        <v>590</v>
      </c>
      <c r="D209" s="346"/>
      <c r="E209" s="377">
        <v>150000</v>
      </c>
      <c r="F209" s="357">
        <v>0</v>
      </c>
      <c r="G209" s="348">
        <f t="shared" ref="G209:G240" si="0">G208+F209-D209</f>
        <v>2340000</v>
      </c>
      <c r="H209" s="358"/>
      <c r="I209" s="252"/>
      <c r="J209" s="252"/>
    </row>
    <row r="210" spans="1:10" ht="17.75" customHeight="1">
      <c r="A210" s="350">
        <v>46065</v>
      </c>
      <c r="B210" s="344" t="s">
        <v>697</v>
      </c>
      <c r="C210" s="345" t="s">
        <v>698</v>
      </c>
      <c r="D210" s="346"/>
      <c r="E210" s="377">
        <v>120000</v>
      </c>
      <c r="F210" s="357">
        <v>0</v>
      </c>
      <c r="G210" s="348">
        <f t="shared" si="0"/>
        <v>2340000</v>
      </c>
      <c r="H210" s="358"/>
      <c r="I210" s="252"/>
      <c r="J210" s="252"/>
    </row>
    <row r="211" spans="1:10" ht="17.75" customHeight="1">
      <c r="A211" s="350">
        <v>46073</v>
      </c>
      <c r="B211" s="344" t="s">
        <v>676</v>
      </c>
      <c r="C211" s="345" t="s">
        <v>677</v>
      </c>
      <c r="D211" s="346"/>
      <c r="E211" s="377">
        <v>185000</v>
      </c>
      <c r="F211" s="357">
        <v>0</v>
      </c>
      <c r="G211" s="348">
        <f t="shared" si="0"/>
        <v>2340000</v>
      </c>
      <c r="H211" s="349"/>
      <c r="I211" s="252"/>
      <c r="J211" s="252"/>
    </row>
    <row r="212" spans="1:10" ht="17.75" customHeight="1">
      <c r="A212" s="350">
        <v>46073</v>
      </c>
      <c r="B212" s="344" t="s">
        <v>254</v>
      </c>
      <c r="C212" s="345" t="s">
        <v>708</v>
      </c>
      <c r="D212" s="346"/>
      <c r="E212" s="377">
        <v>863000</v>
      </c>
      <c r="F212" s="357">
        <v>863000</v>
      </c>
      <c r="G212" s="348">
        <f t="shared" si="0"/>
        <v>3203000</v>
      </c>
      <c r="H212" s="349"/>
      <c r="I212" s="252"/>
      <c r="J212" s="252"/>
    </row>
    <row r="213" spans="1:10" ht="17.75" customHeight="1">
      <c r="A213" s="350">
        <v>46073</v>
      </c>
      <c r="B213" s="344" t="s">
        <v>450</v>
      </c>
      <c r="C213" s="345" t="s">
        <v>729</v>
      </c>
      <c r="D213" s="346"/>
      <c r="E213" s="377">
        <v>71250</v>
      </c>
      <c r="F213" s="357">
        <v>71250</v>
      </c>
      <c r="G213" s="348">
        <f t="shared" si="0"/>
        <v>3274250</v>
      </c>
      <c r="H213" s="349"/>
      <c r="I213" s="252"/>
      <c r="J213" s="252"/>
    </row>
    <row r="214" spans="1:10" ht="17.75" customHeight="1">
      <c r="A214" s="350">
        <v>46073</v>
      </c>
      <c r="B214" s="344" t="s">
        <v>450</v>
      </c>
      <c r="C214" s="345" t="s">
        <v>753</v>
      </c>
      <c r="D214" s="346"/>
      <c r="E214" s="377">
        <v>50000</v>
      </c>
      <c r="F214" s="357">
        <v>50000</v>
      </c>
      <c r="G214" s="348">
        <f t="shared" si="0"/>
        <v>3324250</v>
      </c>
      <c r="H214" s="349"/>
      <c r="I214" s="292"/>
      <c r="J214" s="252"/>
    </row>
    <row r="215" spans="1:10" ht="17.75" customHeight="1">
      <c r="A215" s="350">
        <v>46073</v>
      </c>
      <c r="B215" s="344" t="s">
        <v>450</v>
      </c>
      <c r="C215" s="345" t="s">
        <v>754</v>
      </c>
      <c r="D215" s="346"/>
      <c r="E215" s="377">
        <v>41812.86</v>
      </c>
      <c r="F215" s="357">
        <v>41812.86</v>
      </c>
      <c r="G215" s="348">
        <f t="shared" si="0"/>
        <v>3366062.86</v>
      </c>
      <c r="H215" s="349"/>
      <c r="I215" s="295"/>
      <c r="J215" s="252"/>
    </row>
    <row r="216" spans="1:10" ht="17.75" customHeight="1">
      <c r="A216" s="350">
        <v>46073</v>
      </c>
      <c r="B216" s="344" t="s">
        <v>450</v>
      </c>
      <c r="C216" s="345" t="s">
        <v>755</v>
      </c>
      <c r="D216" s="346"/>
      <c r="E216" s="377">
        <v>47259</v>
      </c>
      <c r="F216" s="357">
        <v>47259</v>
      </c>
      <c r="G216" s="348">
        <f t="shared" si="0"/>
        <v>3413321.86</v>
      </c>
      <c r="H216" s="358"/>
      <c r="I216" s="252"/>
      <c r="J216" s="252"/>
    </row>
    <row r="217" spans="1:10" ht="17.75" customHeight="1">
      <c r="A217" s="350">
        <v>46073</v>
      </c>
      <c r="B217" s="344" t="s">
        <v>450</v>
      </c>
      <c r="C217" s="345" t="s">
        <v>756</v>
      </c>
      <c r="D217" s="346"/>
      <c r="E217" s="377">
        <v>35600</v>
      </c>
      <c r="F217" s="357">
        <v>35600</v>
      </c>
      <c r="G217" s="348">
        <f t="shared" si="0"/>
        <v>3448921.86</v>
      </c>
      <c r="H217" s="349"/>
      <c r="I217" s="252"/>
      <c r="J217" s="252"/>
    </row>
    <row r="218" spans="1:10" ht="17.75" customHeight="1">
      <c r="A218" s="350">
        <v>46073</v>
      </c>
      <c r="B218" s="344" t="s">
        <v>450</v>
      </c>
      <c r="C218" s="345" t="s">
        <v>757</v>
      </c>
      <c r="D218" s="346"/>
      <c r="E218" s="377">
        <v>25822.799999999999</v>
      </c>
      <c r="F218" s="357">
        <v>25822.799999999999</v>
      </c>
      <c r="G218" s="348">
        <f t="shared" si="0"/>
        <v>3474744.6599999997</v>
      </c>
      <c r="H218" s="349"/>
      <c r="I218" s="252"/>
      <c r="J218" s="252"/>
    </row>
    <row r="219" spans="1:10" ht="17.75" customHeight="1">
      <c r="A219" s="350">
        <v>46073</v>
      </c>
      <c r="B219" s="344" t="s">
        <v>450</v>
      </c>
      <c r="C219" s="345" t="s">
        <v>758</v>
      </c>
      <c r="D219" s="346"/>
      <c r="E219" s="377">
        <v>4440</v>
      </c>
      <c r="F219" s="357">
        <v>4440</v>
      </c>
      <c r="G219" s="348">
        <f t="shared" si="0"/>
        <v>3479184.6599999997</v>
      </c>
      <c r="H219" s="359"/>
      <c r="I219" s="252"/>
      <c r="J219" s="252"/>
    </row>
    <row r="220" spans="1:10" ht="17.75" customHeight="1">
      <c r="A220" s="350">
        <v>46073</v>
      </c>
      <c r="B220" s="344" t="s">
        <v>450</v>
      </c>
      <c r="C220" s="345" t="s">
        <v>759</v>
      </c>
      <c r="D220" s="346"/>
      <c r="E220" s="377">
        <v>1239</v>
      </c>
      <c r="F220" s="357">
        <v>1239</v>
      </c>
      <c r="G220" s="348">
        <f t="shared" si="0"/>
        <v>3480423.6599999997</v>
      </c>
      <c r="H220" s="349"/>
      <c r="I220" s="252"/>
      <c r="J220" s="252"/>
    </row>
    <row r="221" spans="1:10" ht="17.75" customHeight="1">
      <c r="A221" s="350">
        <v>46073</v>
      </c>
      <c r="B221" s="344" t="s">
        <v>450</v>
      </c>
      <c r="C221" s="345" t="s">
        <v>760</v>
      </c>
      <c r="D221" s="346"/>
      <c r="E221" s="377">
        <v>1896</v>
      </c>
      <c r="F221" s="357">
        <v>1896</v>
      </c>
      <c r="G221" s="348">
        <f t="shared" si="0"/>
        <v>3482319.6599999997</v>
      </c>
      <c r="H221" s="349"/>
      <c r="I221" s="252"/>
      <c r="J221" s="252"/>
    </row>
    <row r="222" spans="1:10" ht="17.75" customHeight="1">
      <c r="A222" s="350">
        <v>46073</v>
      </c>
      <c r="B222" s="344" t="s">
        <v>450</v>
      </c>
      <c r="C222" s="345" t="s">
        <v>762</v>
      </c>
      <c r="D222" s="346"/>
      <c r="E222" s="377">
        <v>4800</v>
      </c>
      <c r="F222" s="357">
        <v>4800</v>
      </c>
      <c r="G222" s="348">
        <f t="shared" si="0"/>
        <v>3487119.6599999997</v>
      </c>
      <c r="H222" s="349"/>
      <c r="I222" s="252"/>
      <c r="J222" s="252"/>
    </row>
    <row r="223" spans="1:10" ht="17.75" customHeight="1">
      <c r="A223" s="350">
        <v>46073</v>
      </c>
      <c r="B223" s="344" t="s">
        <v>450</v>
      </c>
      <c r="C223" s="345" t="s">
        <v>763</v>
      </c>
      <c r="D223" s="346"/>
      <c r="E223" s="377">
        <v>14400</v>
      </c>
      <c r="F223" s="357">
        <v>14400</v>
      </c>
      <c r="G223" s="348">
        <f t="shared" si="0"/>
        <v>3501519.6599999997</v>
      </c>
      <c r="H223" s="349"/>
      <c r="I223" s="252"/>
      <c r="J223" s="252"/>
    </row>
    <row r="224" spans="1:10" ht="17.75" customHeight="1">
      <c r="A224" s="350">
        <v>46073</v>
      </c>
      <c r="B224" s="344" t="s">
        <v>450</v>
      </c>
      <c r="C224" s="345" t="s">
        <v>764</v>
      </c>
      <c r="D224" s="346"/>
      <c r="E224" s="377">
        <v>1999.88</v>
      </c>
      <c r="F224" s="357">
        <v>1999.88</v>
      </c>
      <c r="G224" s="348">
        <f t="shared" si="0"/>
        <v>3503519.5399999996</v>
      </c>
      <c r="H224" s="349"/>
      <c r="I224" s="252"/>
      <c r="J224" s="252"/>
    </row>
    <row r="225" spans="1:10" ht="17.75" customHeight="1">
      <c r="A225" s="350">
        <v>46073</v>
      </c>
      <c r="B225" s="344" t="s">
        <v>450</v>
      </c>
      <c r="C225" s="345" t="s">
        <v>765</v>
      </c>
      <c r="D225" s="346"/>
      <c r="E225" s="377">
        <v>24000</v>
      </c>
      <c r="F225" s="357">
        <v>24000</v>
      </c>
      <c r="G225" s="348">
        <f t="shared" si="0"/>
        <v>3527519.5399999996</v>
      </c>
      <c r="H225" s="349"/>
      <c r="I225" s="252"/>
      <c r="J225" s="252"/>
    </row>
    <row r="226" spans="1:10" ht="17.75" customHeight="1">
      <c r="A226" s="350">
        <v>46073</v>
      </c>
      <c r="B226" s="344" t="s">
        <v>450</v>
      </c>
      <c r="C226" s="345" t="s">
        <v>766</v>
      </c>
      <c r="D226" s="346"/>
      <c r="E226" s="377">
        <v>11400</v>
      </c>
      <c r="F226" s="357">
        <v>11400</v>
      </c>
      <c r="G226" s="348">
        <f t="shared" si="0"/>
        <v>3538919.5399999996</v>
      </c>
      <c r="H226" s="349"/>
      <c r="I226" s="252"/>
      <c r="J226" s="252"/>
    </row>
    <row r="227" spans="1:10" ht="17.75" customHeight="1">
      <c r="A227" s="350">
        <v>46073</v>
      </c>
      <c r="B227" s="344" t="s">
        <v>450</v>
      </c>
      <c r="C227" s="345" t="s">
        <v>767</v>
      </c>
      <c r="D227" s="346"/>
      <c r="E227" s="377">
        <v>11837</v>
      </c>
      <c r="F227" s="357">
        <v>11837</v>
      </c>
      <c r="G227" s="348">
        <f t="shared" si="0"/>
        <v>3550756.5399999996</v>
      </c>
      <c r="H227" s="349"/>
      <c r="I227" s="252"/>
      <c r="J227" s="252"/>
    </row>
    <row r="228" spans="1:10" ht="17.75" customHeight="1">
      <c r="A228" s="350">
        <v>46073</v>
      </c>
      <c r="B228" s="344" t="s">
        <v>450</v>
      </c>
      <c r="C228" s="345" t="s">
        <v>775</v>
      </c>
      <c r="D228" s="346"/>
      <c r="E228" s="377">
        <v>20400</v>
      </c>
      <c r="F228" s="357">
        <v>20400</v>
      </c>
      <c r="G228" s="348">
        <f t="shared" si="0"/>
        <v>3571156.5399999996</v>
      </c>
      <c r="H228" s="349"/>
      <c r="I228" s="252"/>
      <c r="J228" s="252"/>
    </row>
    <row r="229" spans="1:10" ht="17.75" customHeight="1">
      <c r="A229" s="350">
        <v>46073</v>
      </c>
      <c r="B229" s="344" t="s">
        <v>450</v>
      </c>
      <c r="C229" s="345" t="s">
        <v>768</v>
      </c>
      <c r="D229" s="346"/>
      <c r="E229" s="377">
        <v>36000</v>
      </c>
      <c r="F229" s="357">
        <v>36000</v>
      </c>
      <c r="G229" s="348">
        <f t="shared" si="0"/>
        <v>3607156.5399999996</v>
      </c>
      <c r="H229" s="358"/>
      <c r="I229" s="252"/>
      <c r="J229" s="252"/>
    </row>
    <row r="230" spans="1:10" ht="17.75" customHeight="1">
      <c r="A230" s="350">
        <v>46073</v>
      </c>
      <c r="B230" s="344" t="s">
        <v>450</v>
      </c>
      <c r="C230" s="345" t="s">
        <v>769</v>
      </c>
      <c r="D230" s="346"/>
      <c r="E230" s="377">
        <v>5187</v>
      </c>
      <c r="F230" s="357">
        <v>5187</v>
      </c>
      <c r="G230" s="348">
        <f t="shared" si="0"/>
        <v>3612343.5399999996</v>
      </c>
      <c r="H230" s="358"/>
      <c r="I230" s="252"/>
      <c r="J230" s="252"/>
    </row>
    <row r="231" spans="1:10" ht="17.75" customHeight="1">
      <c r="A231" s="350">
        <v>46073</v>
      </c>
      <c r="B231" s="344" t="s">
        <v>450</v>
      </c>
      <c r="C231" s="345" t="s">
        <v>770</v>
      </c>
      <c r="D231" s="346"/>
      <c r="E231" s="377">
        <v>8100</v>
      </c>
      <c r="F231" s="357">
        <v>8100</v>
      </c>
      <c r="G231" s="348">
        <f t="shared" si="0"/>
        <v>3620443.5399999996</v>
      </c>
      <c r="H231" s="349"/>
      <c r="I231" s="252"/>
      <c r="J231" s="252"/>
    </row>
    <row r="232" spans="1:10" ht="17.75" customHeight="1">
      <c r="A232" s="350">
        <v>46073</v>
      </c>
      <c r="B232" s="344" t="s">
        <v>450</v>
      </c>
      <c r="C232" s="345" t="s">
        <v>771</v>
      </c>
      <c r="D232" s="346"/>
      <c r="E232" s="377">
        <v>25000</v>
      </c>
      <c r="F232" s="357">
        <v>25000</v>
      </c>
      <c r="G232" s="348">
        <f t="shared" si="0"/>
        <v>3645443.5399999996</v>
      </c>
      <c r="H232" s="349"/>
      <c r="I232" s="252"/>
      <c r="J232" s="252"/>
    </row>
    <row r="233" spans="1:10" ht="17.75" customHeight="1">
      <c r="A233" s="350">
        <v>46073</v>
      </c>
      <c r="B233" s="344" t="s">
        <v>450</v>
      </c>
      <c r="C233" s="345" t="s">
        <v>772</v>
      </c>
      <c r="D233" s="346"/>
      <c r="E233" s="377">
        <v>5187</v>
      </c>
      <c r="F233" s="357">
        <v>5187</v>
      </c>
      <c r="G233" s="348">
        <f t="shared" si="0"/>
        <v>3650630.5399999996</v>
      </c>
      <c r="H233" s="349"/>
      <c r="I233" s="252"/>
      <c r="J233" s="252"/>
    </row>
    <row r="234" spans="1:10" ht="17.75" customHeight="1">
      <c r="A234" s="350">
        <v>46073</v>
      </c>
      <c r="B234" s="344" t="s">
        <v>450</v>
      </c>
      <c r="C234" s="345" t="s">
        <v>773</v>
      </c>
      <c r="D234" s="346"/>
      <c r="E234" s="377">
        <v>8400</v>
      </c>
      <c r="F234" s="357">
        <v>8400</v>
      </c>
      <c r="G234" s="348">
        <f t="shared" si="0"/>
        <v>3659030.5399999996</v>
      </c>
      <c r="H234" s="349"/>
      <c r="I234" s="252"/>
      <c r="J234" s="252"/>
    </row>
    <row r="235" spans="1:10" ht="17.75" customHeight="1">
      <c r="A235" s="350">
        <v>46073</v>
      </c>
      <c r="B235" s="344" t="s">
        <v>450</v>
      </c>
      <c r="C235" s="345" t="s">
        <v>774</v>
      </c>
      <c r="D235" s="346"/>
      <c r="E235" s="377">
        <v>5032.8</v>
      </c>
      <c r="F235" s="357">
        <v>5032.8</v>
      </c>
      <c r="G235" s="348">
        <f t="shared" si="0"/>
        <v>3664063.3399999994</v>
      </c>
      <c r="H235" s="349"/>
      <c r="I235" s="252"/>
      <c r="J235" s="252"/>
    </row>
    <row r="236" spans="1:10" ht="17.75" customHeight="1">
      <c r="A236" s="350">
        <v>46073</v>
      </c>
      <c r="B236" s="344" t="s">
        <v>450</v>
      </c>
      <c r="C236" s="345" t="s">
        <v>776</v>
      </c>
      <c r="D236" s="346"/>
      <c r="E236" s="377">
        <v>7200</v>
      </c>
      <c r="F236" s="357">
        <v>7200</v>
      </c>
      <c r="G236" s="348">
        <f t="shared" si="0"/>
        <v>3671263.3399999994</v>
      </c>
      <c r="H236" s="349"/>
      <c r="I236" s="252"/>
      <c r="J236" s="252"/>
    </row>
    <row r="237" spans="1:10" ht="17.75" customHeight="1">
      <c r="A237" s="350">
        <v>46073</v>
      </c>
      <c r="B237" s="344" t="s">
        <v>450</v>
      </c>
      <c r="C237" s="345" t="s">
        <v>777</v>
      </c>
      <c r="D237" s="346"/>
      <c r="E237" s="377">
        <v>19200</v>
      </c>
      <c r="F237" s="357">
        <v>19200</v>
      </c>
      <c r="G237" s="348">
        <f t="shared" si="0"/>
        <v>3690463.3399999994</v>
      </c>
      <c r="H237" s="349"/>
      <c r="I237" s="252"/>
      <c r="J237" s="252"/>
    </row>
    <row r="238" spans="1:10" ht="17.75" customHeight="1">
      <c r="A238" s="350">
        <v>46073</v>
      </c>
      <c r="B238" s="344" t="s">
        <v>538</v>
      </c>
      <c r="C238" s="345" t="s">
        <v>778</v>
      </c>
      <c r="D238" s="346"/>
      <c r="E238" s="377">
        <v>50000</v>
      </c>
      <c r="F238" s="357">
        <v>50000</v>
      </c>
      <c r="G238" s="348">
        <f t="shared" si="0"/>
        <v>3740463.3399999994</v>
      </c>
      <c r="H238" s="349"/>
      <c r="I238" s="252"/>
      <c r="J238" s="252"/>
    </row>
    <row r="239" spans="1:10" ht="17.75" customHeight="1">
      <c r="A239" s="350">
        <v>46073</v>
      </c>
      <c r="B239" s="344" t="s">
        <v>450</v>
      </c>
      <c r="C239" s="345" t="s">
        <v>779</v>
      </c>
      <c r="D239" s="346"/>
      <c r="E239" s="377">
        <v>18000</v>
      </c>
      <c r="F239" s="357">
        <v>18000</v>
      </c>
      <c r="G239" s="348">
        <f t="shared" si="0"/>
        <v>3758463.3399999994</v>
      </c>
      <c r="H239" s="349"/>
      <c r="I239" s="252"/>
      <c r="J239" s="252"/>
    </row>
    <row r="240" spans="1:10" ht="17.75" customHeight="1">
      <c r="A240" s="350">
        <v>46073</v>
      </c>
      <c r="B240" s="344" t="s">
        <v>450</v>
      </c>
      <c r="C240" s="345" t="s">
        <v>780</v>
      </c>
      <c r="D240" s="346"/>
      <c r="E240" s="377">
        <v>10000</v>
      </c>
      <c r="F240" s="357">
        <v>10000</v>
      </c>
      <c r="G240" s="348">
        <f t="shared" si="0"/>
        <v>3768463.3399999994</v>
      </c>
      <c r="H240" s="349"/>
      <c r="I240" s="252"/>
      <c r="J240" s="252"/>
    </row>
    <row r="241" spans="1:10" ht="17.75" customHeight="1">
      <c r="A241" s="350">
        <v>46073</v>
      </c>
      <c r="B241" s="344" t="s">
        <v>781</v>
      </c>
      <c r="C241" s="345" t="s">
        <v>782</v>
      </c>
      <c r="D241" s="346"/>
      <c r="E241" s="377">
        <v>9000</v>
      </c>
      <c r="F241" s="357">
        <v>9000</v>
      </c>
      <c r="G241" s="348">
        <f t="shared" ref="G241:G266" si="1">G240+F241-D241</f>
        <v>3777463.3399999994</v>
      </c>
      <c r="H241" s="352"/>
      <c r="I241" s="252"/>
      <c r="J241" s="252"/>
    </row>
    <row r="242" spans="1:10" ht="17.75" customHeight="1">
      <c r="A242" s="350">
        <v>46076</v>
      </c>
      <c r="B242" s="344" t="s">
        <v>450</v>
      </c>
      <c r="C242" s="345" t="s">
        <v>785</v>
      </c>
      <c r="D242" s="346"/>
      <c r="E242" s="377">
        <v>4455</v>
      </c>
      <c r="F242" s="357">
        <v>4455</v>
      </c>
      <c r="G242" s="348">
        <f t="shared" si="1"/>
        <v>3781918.3399999994</v>
      </c>
      <c r="H242" s="349"/>
      <c r="I242" s="252"/>
      <c r="J242" s="252"/>
    </row>
    <row r="243" spans="1:10" ht="17.75" customHeight="1">
      <c r="A243" s="350">
        <v>46078</v>
      </c>
      <c r="B243" s="344" t="s">
        <v>254</v>
      </c>
      <c r="C243" s="345" t="s">
        <v>709</v>
      </c>
      <c r="D243" s="346"/>
      <c r="E243" s="377">
        <v>782000</v>
      </c>
      <c r="F243" s="357">
        <v>782000</v>
      </c>
      <c r="G243" s="348">
        <f t="shared" si="1"/>
        <v>4563918.34</v>
      </c>
      <c r="H243" s="349"/>
      <c r="I243" s="252"/>
      <c r="J243" s="252"/>
    </row>
    <row r="244" spans="1:10" ht="17.75" customHeight="1">
      <c r="A244" s="350">
        <v>46078</v>
      </c>
      <c r="B244" s="344" t="s">
        <v>444</v>
      </c>
      <c r="C244" s="345" t="s">
        <v>717</v>
      </c>
      <c r="D244" s="346"/>
      <c r="E244" s="377">
        <v>816000</v>
      </c>
      <c r="F244" s="357">
        <v>150000</v>
      </c>
      <c r="G244" s="348">
        <f t="shared" si="1"/>
        <v>4713918.34</v>
      </c>
      <c r="H244" s="349"/>
      <c r="I244" s="252"/>
      <c r="J244" s="252"/>
    </row>
    <row r="245" spans="1:10" ht="17.75" customHeight="1">
      <c r="A245" s="350">
        <v>46078</v>
      </c>
      <c r="B245" s="344" t="s">
        <v>450</v>
      </c>
      <c r="C245" s="345" t="s">
        <v>786</v>
      </c>
      <c r="D245" s="346"/>
      <c r="E245" s="377">
        <v>20534.22</v>
      </c>
      <c r="F245" s="357">
        <v>20534.22</v>
      </c>
      <c r="G245" s="348">
        <f t="shared" si="1"/>
        <v>4734452.5599999996</v>
      </c>
      <c r="H245" s="349"/>
      <c r="I245" s="252"/>
      <c r="J245" s="252"/>
    </row>
    <row r="246" spans="1:10" ht="17.75" customHeight="1">
      <c r="A246" s="350">
        <v>46078</v>
      </c>
      <c r="B246" s="344" t="s">
        <v>450</v>
      </c>
      <c r="C246" s="345" t="s">
        <v>792</v>
      </c>
      <c r="D246" s="346"/>
      <c r="E246" s="377">
        <v>16420</v>
      </c>
      <c r="F246" s="357">
        <v>16420</v>
      </c>
      <c r="G246" s="348">
        <f t="shared" si="1"/>
        <v>4750872.5599999996</v>
      </c>
      <c r="H246" s="349"/>
      <c r="I246" s="252"/>
      <c r="J246" s="252"/>
    </row>
    <row r="247" spans="1:10" ht="17.75" customHeight="1">
      <c r="A247" s="350">
        <v>46078</v>
      </c>
      <c r="B247" s="344" t="s">
        <v>300</v>
      </c>
      <c r="C247" s="345" t="s">
        <v>784</v>
      </c>
      <c r="D247" s="346"/>
      <c r="E247" s="377">
        <v>19758</v>
      </c>
      <c r="F247" s="357">
        <v>19758</v>
      </c>
      <c r="G247" s="348">
        <f t="shared" si="1"/>
        <v>4770630.5599999996</v>
      </c>
      <c r="H247" s="349"/>
      <c r="I247" s="252"/>
      <c r="J247" s="252"/>
    </row>
    <row r="248" spans="1:10" ht="17.75" customHeight="1">
      <c r="A248" s="350">
        <v>46079</v>
      </c>
      <c r="B248" s="344" t="s">
        <v>450</v>
      </c>
      <c r="C248" s="345" t="s">
        <v>793</v>
      </c>
      <c r="D248" s="346"/>
      <c r="E248" s="377">
        <v>7210</v>
      </c>
      <c r="F248" s="357">
        <v>7210</v>
      </c>
      <c r="G248" s="348">
        <f t="shared" si="1"/>
        <v>4777840.5599999996</v>
      </c>
      <c r="H248" s="349"/>
      <c r="I248" s="252"/>
      <c r="J248" s="252"/>
    </row>
    <row r="249" spans="1:10" ht="17.75" customHeight="1">
      <c r="A249" s="350">
        <v>46079</v>
      </c>
      <c r="B249" s="344" t="s">
        <v>300</v>
      </c>
      <c r="C249" s="345" t="s">
        <v>787</v>
      </c>
      <c r="D249" s="346"/>
      <c r="E249" s="377">
        <v>230000</v>
      </c>
      <c r="F249" s="357">
        <v>230000</v>
      </c>
      <c r="G249" s="348">
        <f t="shared" si="1"/>
        <v>5007840.5599999996</v>
      </c>
      <c r="H249" s="360"/>
      <c r="I249" s="252"/>
      <c r="J249" s="252"/>
    </row>
    <row r="250" spans="1:10" ht="17.75" customHeight="1">
      <c r="A250" s="350">
        <v>46081</v>
      </c>
      <c r="B250" s="344" t="s">
        <v>450</v>
      </c>
      <c r="C250" s="345" t="s">
        <v>761</v>
      </c>
      <c r="D250" s="346"/>
      <c r="E250" s="377">
        <v>912500</v>
      </c>
      <c r="F250" s="357">
        <v>912500</v>
      </c>
      <c r="G250" s="348">
        <f t="shared" si="1"/>
        <v>5920340.5599999996</v>
      </c>
      <c r="H250" s="349"/>
      <c r="I250" s="252"/>
      <c r="J250" s="252"/>
    </row>
    <row r="251" spans="1:10" ht="17.75" customHeight="1">
      <c r="A251" s="350">
        <v>46081</v>
      </c>
      <c r="B251" s="344" t="s">
        <v>300</v>
      </c>
      <c r="C251" s="345" t="s">
        <v>783</v>
      </c>
      <c r="D251" s="346"/>
      <c r="E251" s="377">
        <v>31246.25</v>
      </c>
      <c r="F251" s="357">
        <v>31245.25</v>
      </c>
      <c r="G251" s="348">
        <f t="shared" si="1"/>
        <v>5951585.8099999996</v>
      </c>
      <c r="H251" s="349"/>
      <c r="I251" s="252"/>
      <c r="J251" s="252"/>
    </row>
    <row r="252" spans="1:10" ht="17.75" customHeight="1">
      <c r="A252" s="350">
        <v>46081</v>
      </c>
      <c r="B252" s="344" t="s">
        <v>300</v>
      </c>
      <c r="C252" s="345" t="s">
        <v>783</v>
      </c>
      <c r="D252" s="346"/>
      <c r="E252" s="377">
        <v>22296</v>
      </c>
      <c r="F252" s="357">
        <v>22296</v>
      </c>
      <c r="G252" s="348">
        <f t="shared" si="1"/>
        <v>5973881.8099999996</v>
      </c>
      <c r="H252" s="349"/>
      <c r="I252" s="252"/>
      <c r="J252" s="252"/>
    </row>
    <row r="253" spans="1:10" ht="17.75" customHeight="1">
      <c r="A253" s="350">
        <v>46081</v>
      </c>
      <c r="B253" s="344" t="s">
        <v>788</v>
      </c>
      <c r="C253" s="345" t="s">
        <v>789</v>
      </c>
      <c r="D253" s="346"/>
      <c r="E253" s="377">
        <v>811000</v>
      </c>
      <c r="F253" s="357">
        <v>811000</v>
      </c>
      <c r="G253" s="348">
        <f t="shared" si="1"/>
        <v>6784881.8099999996</v>
      </c>
      <c r="H253" s="358"/>
      <c r="I253" s="252"/>
      <c r="J253" s="252"/>
    </row>
    <row r="254" spans="1:10" ht="17.75" customHeight="1">
      <c r="A254" s="350">
        <v>46081</v>
      </c>
      <c r="B254" s="344" t="s">
        <v>300</v>
      </c>
      <c r="C254" s="345" t="s">
        <v>790</v>
      </c>
      <c r="D254" s="346"/>
      <c r="E254" s="377">
        <v>791</v>
      </c>
      <c r="F254" s="357">
        <v>791</v>
      </c>
      <c r="G254" s="348">
        <f t="shared" si="1"/>
        <v>6785672.8099999996</v>
      </c>
      <c r="H254" s="349"/>
      <c r="I254" s="252"/>
      <c r="J254" s="252"/>
    </row>
    <row r="255" spans="1:10" ht="17.75" customHeight="1">
      <c r="A255" s="350">
        <v>46081</v>
      </c>
      <c r="B255" s="344" t="s">
        <v>697</v>
      </c>
      <c r="C255" s="345" t="s">
        <v>791</v>
      </c>
      <c r="D255" s="346"/>
      <c r="E255" s="377">
        <v>120000</v>
      </c>
      <c r="F255" s="357">
        <v>0</v>
      </c>
      <c r="G255" s="348">
        <f t="shared" si="1"/>
        <v>6785672.8099999996</v>
      </c>
      <c r="H255" s="349"/>
      <c r="I255" s="252"/>
      <c r="J255" s="252"/>
    </row>
    <row r="256" spans="1:10" ht="17.75" customHeight="1">
      <c r="A256" s="350">
        <v>46079</v>
      </c>
      <c r="B256" s="344" t="s">
        <v>794</v>
      </c>
      <c r="C256" s="345" t="s">
        <v>795</v>
      </c>
      <c r="D256" s="346"/>
      <c r="E256" s="377">
        <v>8000</v>
      </c>
      <c r="F256" s="357">
        <v>8000</v>
      </c>
      <c r="G256" s="348">
        <f t="shared" si="1"/>
        <v>6793672.8099999996</v>
      </c>
      <c r="H256" s="349"/>
      <c r="I256" s="252"/>
      <c r="J256" s="252"/>
    </row>
    <row r="257" spans="1:10" ht="17.75" customHeight="1">
      <c r="A257" s="350">
        <v>46079</v>
      </c>
      <c r="B257" s="344" t="s">
        <v>676</v>
      </c>
      <c r="C257" s="345" t="s">
        <v>796</v>
      </c>
      <c r="D257" s="346"/>
      <c r="E257" s="377">
        <v>30000</v>
      </c>
      <c r="F257" s="357">
        <v>30000</v>
      </c>
      <c r="G257" s="348">
        <f t="shared" si="1"/>
        <v>6823672.8099999996</v>
      </c>
      <c r="H257" s="349"/>
      <c r="I257" s="252"/>
      <c r="J257" s="252"/>
    </row>
    <row r="258" spans="1:10" ht="17.75" customHeight="1">
      <c r="A258" s="350">
        <v>46083</v>
      </c>
      <c r="B258" s="344" t="s">
        <v>254</v>
      </c>
      <c r="C258" s="345" t="s">
        <v>797</v>
      </c>
      <c r="D258" s="346"/>
      <c r="E258" s="377">
        <v>192000</v>
      </c>
      <c r="F258" s="357">
        <v>192000</v>
      </c>
      <c r="G258" s="348">
        <f t="shared" si="1"/>
        <v>7015672.8099999996</v>
      </c>
      <c r="H258" s="349"/>
      <c r="I258" s="252"/>
      <c r="J258" s="252"/>
    </row>
    <row r="259" spans="1:10" ht="17.75" customHeight="1">
      <c r="A259" s="350">
        <v>46083</v>
      </c>
      <c r="B259" s="344" t="s">
        <v>565</v>
      </c>
      <c r="C259" s="345" t="s">
        <v>798</v>
      </c>
      <c r="D259" s="346"/>
      <c r="E259" s="377">
        <v>44500</v>
      </c>
      <c r="F259" s="357">
        <v>44500</v>
      </c>
      <c r="G259" s="348">
        <f t="shared" si="1"/>
        <v>7060172.8099999996</v>
      </c>
      <c r="H259" s="349"/>
      <c r="I259" s="252"/>
      <c r="J259" s="252"/>
    </row>
    <row r="260" spans="1:10" ht="17.75" customHeight="1">
      <c r="A260" s="350">
        <v>46055</v>
      </c>
      <c r="B260" s="344" t="s">
        <v>254</v>
      </c>
      <c r="C260" s="345" t="s">
        <v>496</v>
      </c>
      <c r="D260" s="346"/>
      <c r="E260" s="377">
        <v>84000</v>
      </c>
      <c r="F260" s="357">
        <v>84000</v>
      </c>
      <c r="G260" s="348">
        <f t="shared" si="1"/>
        <v>7144172.8099999996</v>
      </c>
      <c r="H260" s="349"/>
      <c r="I260" s="252"/>
      <c r="J260" s="252"/>
    </row>
    <row r="261" spans="1:10" ht="17.75" customHeight="1">
      <c r="A261" s="350">
        <v>46055</v>
      </c>
      <c r="B261" s="344" t="s">
        <v>320</v>
      </c>
      <c r="C261" s="372" t="s">
        <v>799</v>
      </c>
      <c r="D261" s="346">
        <v>2070000</v>
      </c>
      <c r="E261" s="377"/>
      <c r="F261" s="357">
        <v>0</v>
      </c>
      <c r="G261" s="348">
        <f t="shared" si="1"/>
        <v>5074172.8099999996</v>
      </c>
      <c r="H261" s="361"/>
      <c r="I261" s="252"/>
      <c r="J261" s="252"/>
    </row>
    <row r="262" spans="1:10" ht="17.75" customHeight="1">
      <c r="A262" s="350">
        <v>46056</v>
      </c>
      <c r="B262" s="344" t="s">
        <v>450</v>
      </c>
      <c r="C262" s="345" t="s">
        <v>800</v>
      </c>
      <c r="D262" s="346"/>
      <c r="E262" s="377">
        <v>170000</v>
      </c>
      <c r="F262" s="357">
        <v>170000</v>
      </c>
      <c r="G262" s="348">
        <f t="shared" si="1"/>
        <v>5244172.8099999996</v>
      </c>
      <c r="H262" s="361"/>
      <c r="I262" s="252"/>
      <c r="J262" s="252"/>
    </row>
    <row r="263" spans="1:10" ht="17.75" customHeight="1">
      <c r="A263" s="350">
        <v>46056</v>
      </c>
      <c r="B263" s="344" t="s">
        <v>450</v>
      </c>
      <c r="C263" s="345" t="s">
        <v>801</v>
      </c>
      <c r="D263" s="346"/>
      <c r="E263" s="377">
        <v>140000</v>
      </c>
      <c r="F263" s="357">
        <v>140000</v>
      </c>
      <c r="G263" s="348">
        <f t="shared" si="1"/>
        <v>5384172.8099999996</v>
      </c>
      <c r="H263" s="349"/>
      <c r="I263" s="252"/>
      <c r="J263" s="252"/>
    </row>
    <row r="264" spans="1:10" ht="17.75" customHeight="1">
      <c r="A264" s="350">
        <v>46056</v>
      </c>
      <c r="B264" s="344" t="s">
        <v>450</v>
      </c>
      <c r="C264" s="345" t="s">
        <v>802</v>
      </c>
      <c r="D264" s="346"/>
      <c r="E264" s="377">
        <v>45000</v>
      </c>
      <c r="F264" s="357">
        <v>45000</v>
      </c>
      <c r="G264" s="348">
        <f t="shared" si="1"/>
        <v>5429172.8099999996</v>
      </c>
      <c r="H264" s="358"/>
      <c r="I264" s="252"/>
      <c r="J264" s="252"/>
    </row>
    <row r="265" spans="1:10" ht="17.75" customHeight="1">
      <c r="A265" s="350">
        <v>46056</v>
      </c>
      <c r="B265" s="344" t="s">
        <v>803</v>
      </c>
      <c r="C265" s="345" t="s">
        <v>804</v>
      </c>
      <c r="D265" s="346"/>
      <c r="E265" s="377">
        <v>11000</v>
      </c>
      <c r="F265" s="357">
        <v>11000</v>
      </c>
      <c r="G265" s="348">
        <f t="shared" si="1"/>
        <v>5440172.8099999996</v>
      </c>
      <c r="H265" s="360"/>
      <c r="I265" s="252"/>
      <c r="J265" s="252"/>
    </row>
    <row r="266" spans="1:10" ht="17.75" customHeight="1">
      <c r="A266" s="350"/>
      <c r="B266" s="344"/>
      <c r="C266" s="345"/>
      <c r="D266" s="346"/>
      <c r="E266" s="377"/>
      <c r="F266" s="357">
        <v>0</v>
      </c>
      <c r="G266" s="348">
        <f t="shared" si="1"/>
        <v>5440172.8099999996</v>
      </c>
      <c r="H266" s="349"/>
      <c r="I266" s="252"/>
      <c r="J266" s="252"/>
    </row>
    <row r="267" spans="1:10">
      <c r="A267" s="314"/>
      <c r="B267" s="286"/>
      <c r="C267" s="314"/>
      <c r="D267" s="326" t="s">
        <v>372</v>
      </c>
      <c r="E267" s="378" t="s">
        <v>373</v>
      </c>
      <c r="F267" s="314"/>
      <c r="G267" s="286" t="s">
        <v>226</v>
      </c>
      <c r="H267" s="314"/>
      <c r="I267" s="252"/>
      <c r="J267" s="252"/>
    </row>
    <row r="268" spans="1:10">
      <c r="A268" s="315"/>
      <c r="B268" s="316"/>
      <c r="C268" s="323"/>
      <c r="D268" s="331">
        <f>SUM(D234:D267)</f>
        <v>2070000</v>
      </c>
      <c r="E268" s="379">
        <f>SUM(E207:E267)</f>
        <v>6426173.8100000005</v>
      </c>
      <c r="F268" s="332">
        <f>SUM(F207:F267)</f>
        <v>5170172.8100000005</v>
      </c>
      <c r="G268" s="337">
        <f>D268-E268</f>
        <v>-4356173.8100000005</v>
      </c>
      <c r="H268" s="323"/>
      <c r="I268" s="252"/>
      <c r="J268" s="252"/>
    </row>
    <row r="269" spans="1:10">
      <c r="A269" s="353"/>
      <c r="B269" s="354"/>
      <c r="C269" s="354"/>
      <c r="D269" s="355"/>
      <c r="E269" s="381"/>
      <c r="F269" s="355"/>
      <c r="G269" s="356"/>
      <c r="H269" s="252"/>
      <c r="I269" s="252"/>
      <c r="J269" s="252"/>
    </row>
    <row r="270" spans="1:10">
      <c r="A270" s="353"/>
      <c r="B270" s="354"/>
      <c r="C270" s="354"/>
      <c r="D270" s="355"/>
      <c r="E270" s="381"/>
      <c r="F270" s="355"/>
      <c r="G270" s="356"/>
      <c r="H270" s="252"/>
      <c r="I270" s="252"/>
      <c r="J270" s="252"/>
    </row>
    <row r="271" spans="1:10" ht="22.5" customHeight="1">
      <c r="A271" s="237" t="s">
        <v>24</v>
      </c>
      <c r="B271" s="238" t="s">
        <v>363</v>
      </c>
      <c r="C271" s="239" t="s">
        <v>364</v>
      </c>
      <c r="D271" s="240" t="s">
        <v>365</v>
      </c>
      <c r="E271" s="376" t="s">
        <v>366</v>
      </c>
      <c r="F271" s="240" t="s">
        <v>398</v>
      </c>
      <c r="G271" s="240" t="s">
        <v>367</v>
      </c>
      <c r="H271" s="241" t="s">
        <v>27</v>
      </c>
      <c r="I271" s="242" t="s">
        <v>320</v>
      </c>
      <c r="J271" s="243">
        <f>G343</f>
        <v>490420.14000000025</v>
      </c>
    </row>
    <row r="272" spans="1:10" ht="17.75" customHeight="1">
      <c r="A272" s="244">
        <v>46024</v>
      </c>
      <c r="B272" s="245" t="s">
        <v>450</v>
      </c>
      <c r="C272" s="253" t="s">
        <v>647</v>
      </c>
      <c r="D272" s="247"/>
      <c r="E272" s="382">
        <v>38340</v>
      </c>
      <c r="F272" s="254">
        <v>38340</v>
      </c>
      <c r="G272" s="250">
        <v>0</v>
      </c>
      <c r="H272" s="251"/>
      <c r="I272" s="252"/>
      <c r="J272" s="252"/>
    </row>
    <row r="273" spans="1:10" ht="17.75" customHeight="1">
      <c r="A273" s="272">
        <v>46024</v>
      </c>
      <c r="B273" s="245" t="s">
        <v>450</v>
      </c>
      <c r="C273" s="306" t="s">
        <v>648</v>
      </c>
      <c r="D273" s="271"/>
      <c r="E273" s="383">
        <v>50000</v>
      </c>
      <c r="F273" s="274">
        <v>50000</v>
      </c>
      <c r="G273" s="250">
        <f>G272+F273-D273</f>
        <v>50000</v>
      </c>
      <c r="H273" s="284"/>
      <c r="I273" s="252"/>
      <c r="J273" s="252"/>
    </row>
    <row r="274" spans="1:10" ht="17.75" customHeight="1">
      <c r="A274" s="244">
        <v>46024</v>
      </c>
      <c r="B274" s="245" t="s">
        <v>649</v>
      </c>
      <c r="C274" s="263" t="s">
        <v>650</v>
      </c>
      <c r="D274" s="247"/>
      <c r="E274" s="382">
        <v>20000</v>
      </c>
      <c r="F274" s="254">
        <v>20000</v>
      </c>
      <c r="G274" s="250">
        <f t="shared" ref="G274:G337" si="2">G273+F274-D274</f>
        <v>70000</v>
      </c>
      <c r="H274" s="269"/>
      <c r="I274" s="252"/>
      <c r="J274" s="252"/>
    </row>
    <row r="275" spans="1:10" ht="17.75" customHeight="1">
      <c r="A275" s="244">
        <v>46024</v>
      </c>
      <c r="B275" s="245" t="s">
        <v>320</v>
      </c>
      <c r="C275" s="255" t="s">
        <v>631</v>
      </c>
      <c r="D275" s="247">
        <v>86000</v>
      </c>
      <c r="E275" s="382"/>
      <c r="F275" s="257"/>
      <c r="G275" s="250">
        <f t="shared" si="2"/>
        <v>-16000</v>
      </c>
      <c r="H275" s="269" t="s">
        <v>651</v>
      </c>
      <c r="I275" s="252"/>
      <c r="J275" s="252"/>
    </row>
    <row r="276" spans="1:10" ht="17.75" customHeight="1">
      <c r="A276" s="244">
        <v>46027</v>
      </c>
      <c r="B276" s="245" t="s">
        <v>320</v>
      </c>
      <c r="C276" s="301" t="s">
        <v>656</v>
      </c>
      <c r="D276" s="247">
        <v>4400000</v>
      </c>
      <c r="E276" s="382">
        <v>0</v>
      </c>
      <c r="F276" s="257">
        <v>0</v>
      </c>
      <c r="G276" s="250">
        <f t="shared" si="2"/>
        <v>-4416000</v>
      </c>
      <c r="H276" s="251"/>
      <c r="I276" s="252"/>
      <c r="J276" s="252"/>
    </row>
    <row r="277" spans="1:10" ht="17.75" customHeight="1">
      <c r="A277" s="244">
        <v>46035</v>
      </c>
      <c r="B277" s="245" t="s">
        <v>562</v>
      </c>
      <c r="C277" s="253" t="s">
        <v>563</v>
      </c>
      <c r="D277" s="247"/>
      <c r="E277" s="382">
        <v>5000</v>
      </c>
      <c r="F277" s="254">
        <v>5000</v>
      </c>
      <c r="G277" s="250">
        <f t="shared" si="2"/>
        <v>-4411000</v>
      </c>
      <c r="H277" s="251"/>
      <c r="I277" s="252"/>
      <c r="J277" s="252"/>
    </row>
    <row r="278" spans="1:10" ht="17.75" customHeight="1">
      <c r="A278" s="244">
        <v>46036</v>
      </c>
      <c r="B278" s="245" t="s">
        <v>320</v>
      </c>
      <c r="C278" s="255" t="s">
        <v>560</v>
      </c>
      <c r="D278" s="327">
        <v>969000</v>
      </c>
      <c r="E278" s="382"/>
      <c r="F278" s="257"/>
      <c r="G278" s="250">
        <f t="shared" si="2"/>
        <v>-5380000</v>
      </c>
      <c r="H278" s="251"/>
      <c r="I278" s="252"/>
      <c r="J278" s="252"/>
    </row>
    <row r="279" spans="1:10" ht="17.75" customHeight="1">
      <c r="A279" s="272">
        <v>46036</v>
      </c>
      <c r="B279" s="245" t="s">
        <v>567</v>
      </c>
      <c r="C279" s="273" t="s">
        <v>568</v>
      </c>
      <c r="D279" s="271">
        <v>0</v>
      </c>
      <c r="E279" s="383">
        <v>568792.46</v>
      </c>
      <c r="F279" s="274">
        <v>568792.46</v>
      </c>
      <c r="G279" s="250">
        <f t="shared" si="2"/>
        <v>-4811207.54</v>
      </c>
      <c r="H279" s="275"/>
      <c r="I279" s="252"/>
      <c r="J279" s="252"/>
    </row>
    <row r="280" spans="1:10" ht="17.75" customHeight="1">
      <c r="A280" s="244">
        <v>46036</v>
      </c>
      <c r="B280" s="245" t="s">
        <v>450</v>
      </c>
      <c r="C280" s="253" t="s">
        <v>569</v>
      </c>
      <c r="D280" s="271">
        <v>0</v>
      </c>
      <c r="E280" s="382">
        <v>1149.2</v>
      </c>
      <c r="F280" s="289">
        <v>1149.2</v>
      </c>
      <c r="G280" s="250">
        <f t="shared" si="2"/>
        <v>-4810058.34</v>
      </c>
      <c r="H280" s="251"/>
      <c r="I280" s="252"/>
      <c r="J280" s="252"/>
    </row>
    <row r="281" spans="1:10" ht="17.75" customHeight="1">
      <c r="A281" s="244">
        <v>46037</v>
      </c>
      <c r="B281" s="245" t="s">
        <v>565</v>
      </c>
      <c r="C281" s="253" t="s">
        <v>566</v>
      </c>
      <c r="D281" s="247">
        <v>0</v>
      </c>
      <c r="E281" s="382">
        <v>248000</v>
      </c>
      <c r="F281" s="254">
        <v>248000</v>
      </c>
      <c r="G281" s="250">
        <f t="shared" si="2"/>
        <v>-4562058.34</v>
      </c>
      <c r="H281" s="251"/>
      <c r="I281" s="252"/>
      <c r="J281" s="252"/>
    </row>
    <row r="282" spans="1:10" ht="17.75" customHeight="1">
      <c r="A282" s="244">
        <v>46038</v>
      </c>
      <c r="B282" s="245" t="s">
        <v>450</v>
      </c>
      <c r="C282" s="300" t="s">
        <v>580</v>
      </c>
      <c r="D282" s="247">
        <v>0</v>
      </c>
      <c r="E282" s="382">
        <v>15000</v>
      </c>
      <c r="F282" s="249">
        <v>0</v>
      </c>
      <c r="G282" s="250">
        <f t="shared" si="2"/>
        <v>-4562058.34</v>
      </c>
      <c r="H282" s="251"/>
      <c r="I282" s="252"/>
      <c r="J282" s="252"/>
    </row>
    <row r="283" spans="1:10" ht="17.75" customHeight="1">
      <c r="A283" s="244">
        <v>46041</v>
      </c>
      <c r="B283" s="245" t="s">
        <v>254</v>
      </c>
      <c r="C283" s="253" t="s">
        <v>561</v>
      </c>
      <c r="D283" s="256">
        <v>0</v>
      </c>
      <c r="E283" s="382">
        <v>602915.78</v>
      </c>
      <c r="F283" s="254">
        <v>602915.19999999995</v>
      </c>
      <c r="G283" s="250">
        <f t="shared" si="2"/>
        <v>-3959143.1399999997</v>
      </c>
      <c r="H283" s="251"/>
      <c r="I283" s="252"/>
      <c r="J283" s="252"/>
    </row>
    <row r="284" spans="1:10" ht="17.75" customHeight="1">
      <c r="A284" s="244">
        <v>46041</v>
      </c>
      <c r="B284" s="245" t="s">
        <v>450</v>
      </c>
      <c r="C284" s="253" t="s">
        <v>570</v>
      </c>
      <c r="D284" s="247">
        <v>0</v>
      </c>
      <c r="E284" s="382">
        <v>69000</v>
      </c>
      <c r="F284" s="249">
        <v>69000</v>
      </c>
      <c r="G284" s="250">
        <f t="shared" si="2"/>
        <v>-3890143.1399999997</v>
      </c>
      <c r="H284" s="291" t="s">
        <v>571</v>
      </c>
      <c r="I284" s="252"/>
      <c r="J284" s="252"/>
    </row>
    <row r="285" spans="1:10" ht="17.75" customHeight="1">
      <c r="A285" s="244">
        <v>46041</v>
      </c>
      <c r="B285" s="245" t="s">
        <v>567</v>
      </c>
      <c r="C285" s="253" t="s">
        <v>585</v>
      </c>
      <c r="D285" s="247">
        <v>0</v>
      </c>
      <c r="E285" s="382">
        <v>35000</v>
      </c>
      <c r="F285" s="249">
        <v>35000</v>
      </c>
      <c r="G285" s="250">
        <f t="shared" si="2"/>
        <v>-3855143.1399999997</v>
      </c>
      <c r="H285" s="251"/>
      <c r="I285" s="292"/>
      <c r="J285" s="292"/>
    </row>
    <row r="286" spans="1:10" ht="17.75" customHeight="1">
      <c r="A286" s="244">
        <v>46041</v>
      </c>
      <c r="B286" s="245" t="s">
        <v>450</v>
      </c>
      <c r="C286" s="253" t="s">
        <v>586</v>
      </c>
      <c r="D286" s="247">
        <v>0</v>
      </c>
      <c r="E286" s="382">
        <v>55000</v>
      </c>
      <c r="F286" s="249">
        <v>55000</v>
      </c>
      <c r="G286" s="250">
        <f t="shared" si="2"/>
        <v>-3800143.1399999997</v>
      </c>
      <c r="H286" s="251"/>
      <c r="I286" s="252"/>
      <c r="J286" s="252"/>
    </row>
    <row r="287" spans="1:10" ht="17.75" customHeight="1">
      <c r="A287" s="244">
        <v>46041</v>
      </c>
      <c r="B287" s="245" t="s">
        <v>450</v>
      </c>
      <c r="C287" s="253" t="s">
        <v>589</v>
      </c>
      <c r="D287" s="247">
        <v>0</v>
      </c>
      <c r="E287" s="382">
        <v>60000</v>
      </c>
      <c r="F287" s="249">
        <v>60000</v>
      </c>
      <c r="G287" s="250">
        <f t="shared" si="2"/>
        <v>-3740143.1399999997</v>
      </c>
      <c r="H287" s="251"/>
      <c r="I287" s="252"/>
      <c r="J287" s="252"/>
    </row>
    <row r="288" spans="1:10" ht="17.75" customHeight="1">
      <c r="A288" s="244">
        <v>46042</v>
      </c>
      <c r="B288" s="245" t="s">
        <v>634</v>
      </c>
      <c r="C288" s="253" t="s">
        <v>611</v>
      </c>
      <c r="D288" s="247">
        <v>0</v>
      </c>
      <c r="E288" s="382">
        <v>9000</v>
      </c>
      <c r="F288" s="249">
        <v>9000</v>
      </c>
      <c r="G288" s="250">
        <f t="shared" si="2"/>
        <v>-3731143.1399999997</v>
      </c>
      <c r="H288" s="251"/>
      <c r="I288" s="252"/>
      <c r="J288" s="252"/>
    </row>
    <row r="289" spans="1:10" ht="17.75" customHeight="1">
      <c r="A289" s="244">
        <v>46042</v>
      </c>
      <c r="B289" s="245" t="s">
        <v>618</v>
      </c>
      <c r="C289" s="253" t="s">
        <v>619</v>
      </c>
      <c r="D289" s="260">
        <v>0</v>
      </c>
      <c r="E289" s="382">
        <v>10000</v>
      </c>
      <c r="F289" s="254">
        <v>10000</v>
      </c>
      <c r="G289" s="250">
        <f t="shared" si="2"/>
        <v>-3721143.1399999997</v>
      </c>
      <c r="H289" s="251"/>
      <c r="I289" s="252"/>
      <c r="J289" s="252"/>
    </row>
    <row r="290" spans="1:10" ht="17.75" customHeight="1">
      <c r="A290" s="244">
        <v>46044</v>
      </c>
      <c r="B290" s="245" t="s">
        <v>450</v>
      </c>
      <c r="C290" s="253" t="s">
        <v>614</v>
      </c>
      <c r="D290" s="247">
        <v>0</v>
      </c>
      <c r="E290" s="382">
        <v>15600</v>
      </c>
      <c r="F290" s="254">
        <v>15600</v>
      </c>
      <c r="G290" s="250">
        <f t="shared" si="2"/>
        <v>-3705543.1399999997</v>
      </c>
      <c r="H290" s="293"/>
      <c r="I290" s="252"/>
      <c r="J290" s="252"/>
    </row>
    <row r="291" spans="1:10" ht="17.75" customHeight="1">
      <c r="A291" s="244">
        <v>46044</v>
      </c>
      <c r="B291" s="245" t="s">
        <v>450</v>
      </c>
      <c r="C291" s="253" t="s">
        <v>504</v>
      </c>
      <c r="D291" s="247">
        <v>0</v>
      </c>
      <c r="E291" s="382">
        <v>290975.65999999997</v>
      </c>
      <c r="F291" s="254">
        <v>290975.65999999997</v>
      </c>
      <c r="G291" s="250">
        <f t="shared" si="2"/>
        <v>-3414567.4799999995</v>
      </c>
      <c r="H291" s="251"/>
      <c r="I291" s="252"/>
      <c r="J291" s="252"/>
    </row>
    <row r="292" spans="1:10" ht="17.75" customHeight="1">
      <c r="A292" s="244">
        <v>46044</v>
      </c>
      <c r="B292" s="245" t="s">
        <v>450</v>
      </c>
      <c r="C292" s="253" t="s">
        <v>615</v>
      </c>
      <c r="D292" s="247">
        <v>0</v>
      </c>
      <c r="E292" s="382">
        <v>33000</v>
      </c>
      <c r="F292" s="254">
        <v>33000</v>
      </c>
      <c r="G292" s="250">
        <f t="shared" si="2"/>
        <v>-3381567.4799999995</v>
      </c>
      <c r="H292" s="251"/>
      <c r="I292" s="252"/>
      <c r="J292" s="252"/>
    </row>
    <row r="293" spans="1:10" ht="17.75" customHeight="1">
      <c r="A293" s="244">
        <v>46044</v>
      </c>
      <c r="B293" s="245" t="s">
        <v>616</v>
      </c>
      <c r="C293" s="253" t="s">
        <v>617</v>
      </c>
      <c r="D293" s="247">
        <v>0</v>
      </c>
      <c r="E293" s="382">
        <v>791</v>
      </c>
      <c r="F293" s="254">
        <v>791</v>
      </c>
      <c r="G293" s="250">
        <f t="shared" si="2"/>
        <v>-3380776.4799999995</v>
      </c>
      <c r="H293" s="251"/>
      <c r="I293" s="252"/>
      <c r="J293" s="252"/>
    </row>
    <row r="294" spans="1:10" ht="17.75" customHeight="1">
      <c r="A294" s="244">
        <v>46044</v>
      </c>
      <c r="B294" s="245" t="s">
        <v>320</v>
      </c>
      <c r="C294" s="253" t="s">
        <v>375</v>
      </c>
      <c r="D294" s="247">
        <v>665953</v>
      </c>
      <c r="E294" s="382"/>
      <c r="F294" s="254"/>
      <c r="G294" s="250">
        <f t="shared" si="2"/>
        <v>-4046729.4799999995</v>
      </c>
      <c r="H294" s="251"/>
      <c r="I294" s="252"/>
      <c r="J294" s="252"/>
    </row>
    <row r="295" spans="1:10" ht="17.75" customHeight="1">
      <c r="A295" s="244">
        <v>46044</v>
      </c>
      <c r="B295" s="245" t="s">
        <v>621</v>
      </c>
      <c r="C295" s="261" t="s">
        <v>620</v>
      </c>
      <c r="D295" s="262">
        <v>86000</v>
      </c>
      <c r="E295" s="382"/>
      <c r="F295" s="254"/>
      <c r="G295" s="250">
        <f t="shared" si="2"/>
        <v>-4132729.4799999995</v>
      </c>
      <c r="H295" s="251"/>
      <c r="I295" s="252"/>
      <c r="J295" s="252"/>
    </row>
    <row r="296" spans="1:10" ht="17.75" customHeight="1">
      <c r="A296" s="244">
        <v>46045</v>
      </c>
      <c r="B296" s="245" t="s">
        <v>444</v>
      </c>
      <c r="C296" s="263" t="s">
        <v>277</v>
      </c>
      <c r="D296" s="247"/>
      <c r="E296" s="382">
        <v>300000</v>
      </c>
      <c r="F296" s="249">
        <v>300000</v>
      </c>
      <c r="G296" s="250">
        <f t="shared" si="2"/>
        <v>-3832729.4799999995</v>
      </c>
      <c r="H296" s="259" t="s">
        <v>564</v>
      </c>
      <c r="I296" s="252"/>
      <c r="J296" s="252"/>
    </row>
    <row r="297" spans="1:10" ht="17.75" customHeight="1">
      <c r="A297" s="244">
        <v>46045</v>
      </c>
      <c r="B297" s="245" t="s">
        <v>444</v>
      </c>
      <c r="C297" s="253" t="s">
        <v>582</v>
      </c>
      <c r="D297" s="247"/>
      <c r="E297" s="382">
        <v>46000</v>
      </c>
      <c r="F297" s="249">
        <v>46000</v>
      </c>
      <c r="G297" s="250">
        <f t="shared" si="2"/>
        <v>-3786729.4799999995</v>
      </c>
      <c r="H297" s="251"/>
      <c r="I297" s="252"/>
      <c r="J297" s="252"/>
    </row>
    <row r="298" spans="1:10" ht="17.75" customHeight="1">
      <c r="A298" s="244">
        <v>46045</v>
      </c>
      <c r="B298" s="245" t="s">
        <v>528</v>
      </c>
      <c r="C298" s="261" t="s">
        <v>622</v>
      </c>
      <c r="D298" s="262">
        <v>443000</v>
      </c>
      <c r="E298" s="382"/>
      <c r="F298" s="254"/>
      <c r="G298" s="250">
        <f t="shared" si="2"/>
        <v>-4229729.4799999995</v>
      </c>
      <c r="H298" s="251"/>
      <c r="I298" s="252"/>
      <c r="J298" s="252"/>
    </row>
    <row r="299" spans="1:10" ht="17.75" customHeight="1">
      <c r="A299" s="244">
        <v>46045</v>
      </c>
      <c r="B299" s="245" t="s">
        <v>450</v>
      </c>
      <c r="C299" s="253" t="s">
        <v>623</v>
      </c>
      <c r="D299" s="260"/>
      <c r="E299" s="382">
        <v>16800</v>
      </c>
      <c r="F299" s="254">
        <v>16800</v>
      </c>
      <c r="G299" s="250">
        <f t="shared" si="2"/>
        <v>-4212929.4799999995</v>
      </c>
      <c r="H299" s="251"/>
      <c r="I299" s="252"/>
      <c r="J299" s="252"/>
    </row>
    <row r="300" spans="1:10" ht="17.75" customHeight="1">
      <c r="A300" s="244">
        <v>46046</v>
      </c>
      <c r="B300" s="245" t="s">
        <v>55</v>
      </c>
      <c r="C300" s="253" t="s">
        <v>579</v>
      </c>
      <c r="D300" s="247"/>
      <c r="E300" s="382">
        <v>211000</v>
      </c>
      <c r="F300" s="249">
        <v>211000</v>
      </c>
      <c r="G300" s="250">
        <f t="shared" si="2"/>
        <v>-4001929.4799999995</v>
      </c>
      <c r="H300" s="251"/>
      <c r="I300" s="252"/>
      <c r="J300" s="252"/>
    </row>
    <row r="301" spans="1:10" ht="17.75" customHeight="1">
      <c r="A301" s="265">
        <v>46047</v>
      </c>
      <c r="B301" s="245" t="s">
        <v>55</v>
      </c>
      <c r="C301" s="266" t="s">
        <v>578</v>
      </c>
      <c r="D301" s="247"/>
      <c r="E301" s="382">
        <v>100000</v>
      </c>
      <c r="F301" s="254">
        <v>100000</v>
      </c>
      <c r="G301" s="250">
        <f t="shared" si="2"/>
        <v>-3901929.4799999995</v>
      </c>
      <c r="H301" s="268"/>
      <c r="I301" s="252"/>
      <c r="J301" s="252"/>
    </row>
    <row r="302" spans="1:10" ht="17.75" customHeight="1">
      <c r="A302" s="313">
        <v>46048</v>
      </c>
      <c r="B302" s="245" t="s">
        <v>572</v>
      </c>
      <c r="C302" s="264" t="s">
        <v>573</v>
      </c>
      <c r="D302" s="247"/>
      <c r="E302" s="382">
        <v>35710</v>
      </c>
      <c r="F302" s="249">
        <v>35710</v>
      </c>
      <c r="G302" s="250">
        <f t="shared" si="2"/>
        <v>-3866219.4799999995</v>
      </c>
      <c r="H302" s="251"/>
      <c r="I302" s="252"/>
      <c r="J302" s="252"/>
    </row>
    <row r="303" spans="1:10" ht="17.75" customHeight="1">
      <c r="A303" s="244">
        <v>46048</v>
      </c>
      <c r="B303" s="245" t="s">
        <v>572</v>
      </c>
      <c r="C303" s="253" t="s">
        <v>577</v>
      </c>
      <c r="D303" s="247"/>
      <c r="E303" s="382">
        <v>7940</v>
      </c>
      <c r="F303" s="254">
        <v>7940</v>
      </c>
      <c r="G303" s="250">
        <f t="shared" si="2"/>
        <v>-3858279.4799999995</v>
      </c>
      <c r="H303" s="251"/>
      <c r="I303" s="252"/>
      <c r="J303" s="252"/>
    </row>
    <row r="304" spans="1:10" ht="17.75" customHeight="1">
      <c r="A304" s="244">
        <v>46048</v>
      </c>
      <c r="B304" s="245" t="s">
        <v>572</v>
      </c>
      <c r="C304" s="253" t="s">
        <v>485</v>
      </c>
      <c r="D304" s="247"/>
      <c r="E304" s="382">
        <v>20426</v>
      </c>
      <c r="F304" s="249">
        <v>20426</v>
      </c>
      <c r="G304" s="250">
        <f t="shared" si="2"/>
        <v>-3837853.4799999995</v>
      </c>
      <c r="H304" s="251"/>
      <c r="I304" s="252"/>
      <c r="J304" s="252"/>
    </row>
    <row r="305" spans="1:10" ht="17.75" customHeight="1">
      <c r="A305" s="244">
        <v>46048</v>
      </c>
      <c r="B305" s="245" t="s">
        <v>572</v>
      </c>
      <c r="C305" s="253" t="s">
        <v>583</v>
      </c>
      <c r="D305" s="247"/>
      <c r="E305" s="382">
        <v>158606</v>
      </c>
      <c r="F305" s="249">
        <v>158606</v>
      </c>
      <c r="G305" s="250">
        <f t="shared" si="2"/>
        <v>-3679247.4799999995</v>
      </c>
      <c r="H305" s="251"/>
      <c r="I305" s="252"/>
      <c r="J305" s="252"/>
    </row>
    <row r="306" spans="1:10" ht="17.75" customHeight="1">
      <c r="A306" s="244">
        <v>46048</v>
      </c>
      <c r="B306" s="245" t="s">
        <v>444</v>
      </c>
      <c r="C306" s="253" t="s">
        <v>584</v>
      </c>
      <c r="D306" s="247"/>
      <c r="E306" s="382">
        <v>98000</v>
      </c>
      <c r="F306" s="254">
        <v>98000</v>
      </c>
      <c r="G306" s="250">
        <f t="shared" si="2"/>
        <v>-3581247.4799999995</v>
      </c>
      <c r="H306" s="251"/>
      <c r="I306" s="252"/>
      <c r="J306" s="252"/>
    </row>
    <row r="307" spans="1:10" ht="17.75" customHeight="1">
      <c r="A307" s="270">
        <v>46048</v>
      </c>
      <c r="B307" s="245" t="s">
        <v>384</v>
      </c>
      <c r="C307" s="281" t="s">
        <v>488</v>
      </c>
      <c r="D307" s="271"/>
      <c r="E307" s="384">
        <v>782600</v>
      </c>
      <c r="F307" s="254">
        <v>782600</v>
      </c>
      <c r="G307" s="250">
        <f t="shared" si="2"/>
        <v>-2798647.4799999995</v>
      </c>
      <c r="H307" s="282"/>
      <c r="I307" s="252"/>
      <c r="J307" s="252"/>
    </row>
    <row r="308" spans="1:10" ht="17.75" customHeight="1">
      <c r="A308" s="244">
        <v>46048</v>
      </c>
      <c r="B308" s="245" t="s">
        <v>565</v>
      </c>
      <c r="C308" s="253" t="s">
        <v>570</v>
      </c>
      <c r="D308" s="330"/>
      <c r="E308" s="382">
        <v>30200</v>
      </c>
      <c r="F308" s="254">
        <v>30200</v>
      </c>
      <c r="G308" s="250">
        <f t="shared" si="2"/>
        <v>-2768447.4799999995</v>
      </c>
      <c r="H308" s="294" t="s">
        <v>624</v>
      </c>
      <c r="I308" s="252"/>
      <c r="J308" s="252"/>
    </row>
    <row r="309" spans="1:10" ht="17.75" customHeight="1">
      <c r="A309" s="244">
        <v>46048</v>
      </c>
      <c r="B309" s="245" t="s">
        <v>320</v>
      </c>
      <c r="C309" s="255" t="s">
        <v>629</v>
      </c>
      <c r="D309" s="328">
        <v>700000</v>
      </c>
      <c r="E309" s="382"/>
      <c r="F309" s="254"/>
      <c r="G309" s="250">
        <f t="shared" si="2"/>
        <v>-3468447.4799999995</v>
      </c>
      <c r="H309" s="251"/>
      <c r="I309" s="252"/>
      <c r="J309" s="252"/>
    </row>
    <row r="310" spans="1:10" ht="17.75" customHeight="1">
      <c r="A310" s="272">
        <v>46049</v>
      </c>
      <c r="B310" s="245" t="s">
        <v>320</v>
      </c>
      <c r="C310" s="288" t="s">
        <v>627</v>
      </c>
      <c r="D310" s="271">
        <v>84000</v>
      </c>
      <c r="E310" s="382"/>
      <c r="F310" s="254"/>
      <c r="G310" s="250">
        <f t="shared" si="2"/>
        <v>-3552447.4799999995</v>
      </c>
      <c r="H310" s="303" t="s">
        <v>628</v>
      </c>
      <c r="I310" s="252"/>
      <c r="J310" s="252"/>
    </row>
    <row r="311" spans="1:10" ht="17.75" customHeight="1">
      <c r="A311" s="272">
        <v>46049</v>
      </c>
      <c r="B311" s="245" t="s">
        <v>639</v>
      </c>
      <c r="C311" s="288" t="s">
        <v>640</v>
      </c>
      <c r="D311" s="271">
        <v>100000</v>
      </c>
      <c r="E311" s="382"/>
      <c r="F311" s="249"/>
      <c r="G311" s="250">
        <f t="shared" si="2"/>
        <v>-3652447.4799999995</v>
      </c>
      <c r="H311" s="284"/>
      <c r="I311" s="252"/>
      <c r="J311" s="252"/>
    </row>
    <row r="312" spans="1:10" ht="17.75" customHeight="1">
      <c r="A312" s="272">
        <v>46050</v>
      </c>
      <c r="B312" s="245" t="s">
        <v>320</v>
      </c>
      <c r="C312" s="288" t="s">
        <v>631</v>
      </c>
      <c r="D312" s="271">
        <v>500000</v>
      </c>
      <c r="E312" s="382"/>
      <c r="F312" s="254"/>
      <c r="G312" s="250">
        <f t="shared" si="2"/>
        <v>-4152447.4799999995</v>
      </c>
      <c r="H312" s="303" t="s">
        <v>630</v>
      </c>
      <c r="I312" s="252"/>
      <c r="J312" s="252"/>
    </row>
    <row r="313" spans="1:10" ht="17.75" customHeight="1">
      <c r="A313" s="272">
        <v>46050</v>
      </c>
      <c r="B313" s="245" t="s">
        <v>538</v>
      </c>
      <c r="C313" s="273" t="s">
        <v>638</v>
      </c>
      <c r="D313" s="271"/>
      <c r="E313" s="382">
        <v>40000</v>
      </c>
      <c r="F313" s="249">
        <v>40000</v>
      </c>
      <c r="G313" s="250">
        <f t="shared" si="2"/>
        <v>-4112447.4799999995</v>
      </c>
      <c r="H313" s="275"/>
      <c r="I313" s="252"/>
      <c r="J313" s="252"/>
    </row>
    <row r="314" spans="1:10" ht="17.75" customHeight="1">
      <c r="A314" s="272">
        <v>46051</v>
      </c>
      <c r="B314" s="245" t="s">
        <v>256</v>
      </c>
      <c r="C314" s="273" t="s">
        <v>590</v>
      </c>
      <c r="D314" s="271"/>
      <c r="E314" s="382">
        <v>150000</v>
      </c>
      <c r="F314" s="254"/>
      <c r="G314" s="250">
        <f t="shared" si="2"/>
        <v>-4112447.4799999995</v>
      </c>
      <c r="H314" s="275"/>
      <c r="I314" s="252"/>
      <c r="J314" s="252"/>
    </row>
    <row r="315" spans="1:10" ht="17.75" customHeight="1">
      <c r="A315" s="276">
        <v>46051</v>
      </c>
      <c r="B315" s="245" t="s">
        <v>320</v>
      </c>
      <c r="C315" s="321" t="s">
        <v>632</v>
      </c>
      <c r="D315" s="271">
        <v>370000</v>
      </c>
      <c r="E315" s="382"/>
      <c r="F315" s="254"/>
      <c r="G315" s="250">
        <f t="shared" si="2"/>
        <v>-4482447.4799999995</v>
      </c>
      <c r="H315" s="342" t="s">
        <v>633</v>
      </c>
      <c r="I315" s="252"/>
      <c r="J315" s="252"/>
    </row>
    <row r="316" spans="1:10" ht="17.75" customHeight="1">
      <c r="A316" s="276">
        <v>46051</v>
      </c>
      <c r="B316" s="245" t="s">
        <v>565</v>
      </c>
      <c r="C316" s="277" t="s">
        <v>566</v>
      </c>
      <c r="D316" s="279"/>
      <c r="E316" s="382">
        <v>118046.18</v>
      </c>
      <c r="F316" s="254">
        <v>118046.18</v>
      </c>
      <c r="G316" s="250">
        <f t="shared" si="2"/>
        <v>-4364401.3</v>
      </c>
      <c r="H316" s="341" t="s">
        <v>635</v>
      </c>
      <c r="I316" s="252"/>
      <c r="J316" s="252"/>
    </row>
    <row r="317" spans="1:10" ht="17.75" customHeight="1">
      <c r="A317" s="276">
        <v>46051</v>
      </c>
      <c r="B317" s="245" t="s">
        <v>618</v>
      </c>
      <c r="C317" s="277" t="s">
        <v>641</v>
      </c>
      <c r="D317" s="279"/>
      <c r="E317" s="382">
        <v>2000</v>
      </c>
      <c r="F317" s="258">
        <v>2000</v>
      </c>
      <c r="G317" s="250">
        <f t="shared" si="2"/>
        <v>-4362401.3</v>
      </c>
      <c r="H317" s="280"/>
      <c r="I317" s="292"/>
      <c r="J317" s="252"/>
    </row>
    <row r="318" spans="1:10" ht="17.75" customHeight="1">
      <c r="A318" s="244">
        <v>46052</v>
      </c>
      <c r="B318" s="245" t="s">
        <v>626</v>
      </c>
      <c r="C318" s="253" t="s">
        <v>496</v>
      </c>
      <c r="D318" s="247"/>
      <c r="E318" s="382">
        <v>84000</v>
      </c>
      <c r="F318" s="254">
        <v>84000</v>
      </c>
      <c r="G318" s="250">
        <f t="shared" si="2"/>
        <v>-4278401.3</v>
      </c>
      <c r="H318" s="251"/>
      <c r="I318" s="295"/>
      <c r="J318" s="252"/>
    </row>
    <row r="319" spans="1:10" ht="17.75" customHeight="1">
      <c r="A319" s="244">
        <v>46052</v>
      </c>
      <c r="B319" s="245" t="s">
        <v>320</v>
      </c>
      <c r="C319" s="253" t="s">
        <v>375</v>
      </c>
      <c r="D319" s="247">
        <v>1485000</v>
      </c>
      <c r="E319" s="384"/>
      <c r="F319" s="335"/>
      <c r="G319" s="250">
        <f t="shared" si="2"/>
        <v>-5763401.2999999998</v>
      </c>
      <c r="H319" s="251"/>
      <c r="I319" s="252"/>
      <c r="J319" s="252"/>
    </row>
    <row r="320" spans="1:10" ht="17.75" customHeight="1">
      <c r="A320" s="283">
        <v>46052</v>
      </c>
      <c r="B320" s="245" t="s">
        <v>621</v>
      </c>
      <c r="C320" s="255" t="s">
        <v>636</v>
      </c>
      <c r="D320" s="247">
        <v>42000</v>
      </c>
      <c r="E320" s="382"/>
      <c r="F320" s="254"/>
      <c r="G320" s="250">
        <f t="shared" si="2"/>
        <v>-5805401.2999999998</v>
      </c>
      <c r="H320" s="251"/>
      <c r="I320" s="252"/>
      <c r="J320" s="252"/>
    </row>
    <row r="321" spans="1:10" ht="17.75" customHeight="1">
      <c r="A321" s="270">
        <v>46052</v>
      </c>
      <c r="B321" s="245" t="s">
        <v>444</v>
      </c>
      <c r="C321" s="281" t="s">
        <v>637</v>
      </c>
      <c r="D321" s="271"/>
      <c r="E321" s="382">
        <v>104000</v>
      </c>
      <c r="F321" s="249">
        <v>104000</v>
      </c>
      <c r="G321" s="250">
        <f t="shared" si="2"/>
        <v>-5701401.2999999998</v>
      </c>
      <c r="H321" s="282"/>
      <c r="I321" s="252"/>
      <c r="J321" s="252"/>
    </row>
    <row r="322" spans="1:10" ht="17.75" customHeight="1">
      <c r="A322" s="244">
        <v>46052</v>
      </c>
      <c r="B322" s="245" t="s">
        <v>450</v>
      </c>
      <c r="C322" s="253" t="s">
        <v>642</v>
      </c>
      <c r="D322" s="271"/>
      <c r="E322" s="382">
        <v>13026</v>
      </c>
      <c r="F322" s="254">
        <v>13026</v>
      </c>
      <c r="G322" s="250">
        <f t="shared" si="2"/>
        <v>-5688375.2999999998</v>
      </c>
      <c r="H322" s="251"/>
      <c r="I322" s="252"/>
      <c r="J322" s="252"/>
    </row>
    <row r="323" spans="1:10" ht="17.75" customHeight="1">
      <c r="A323" s="244">
        <v>46053</v>
      </c>
      <c r="B323" s="245" t="s">
        <v>625</v>
      </c>
      <c r="C323" s="253" t="s">
        <v>516</v>
      </c>
      <c r="D323" s="271"/>
      <c r="E323" s="382">
        <v>700000</v>
      </c>
      <c r="F323" s="254">
        <v>700000</v>
      </c>
      <c r="G323" s="250">
        <f t="shared" si="2"/>
        <v>-4988375.3</v>
      </c>
      <c r="H323" s="251"/>
      <c r="I323" s="252"/>
      <c r="J323" s="252"/>
    </row>
    <row r="324" spans="1:10" ht="17.75" customHeight="1">
      <c r="A324" s="272">
        <v>46053</v>
      </c>
      <c r="B324" s="245" t="s">
        <v>518</v>
      </c>
      <c r="C324" s="273" t="s">
        <v>587</v>
      </c>
      <c r="D324" s="271"/>
      <c r="E324" s="382">
        <v>1679000</v>
      </c>
      <c r="F324" s="249">
        <v>1679000</v>
      </c>
      <c r="G324" s="250">
        <f t="shared" si="2"/>
        <v>-3309375.3</v>
      </c>
      <c r="H324" s="284" t="s">
        <v>588</v>
      </c>
      <c r="I324" s="252"/>
      <c r="J324" s="252"/>
    </row>
    <row r="325" spans="1:10" ht="17.75" customHeight="1">
      <c r="A325" s="272">
        <v>46053</v>
      </c>
      <c r="B325" s="245" t="s">
        <v>591</v>
      </c>
      <c r="C325" s="273" t="s">
        <v>535</v>
      </c>
      <c r="D325" s="271"/>
      <c r="E325" s="382">
        <v>308000</v>
      </c>
      <c r="F325" s="249">
        <v>308000</v>
      </c>
      <c r="G325" s="250">
        <f t="shared" si="2"/>
        <v>-3001375.3</v>
      </c>
      <c r="H325" s="284" t="s">
        <v>728</v>
      </c>
      <c r="I325" s="252"/>
      <c r="J325" s="252"/>
    </row>
    <row r="326" spans="1:10" ht="17.75" customHeight="1">
      <c r="A326" s="272">
        <v>46053</v>
      </c>
      <c r="B326" s="245" t="s">
        <v>572</v>
      </c>
      <c r="C326" s="273" t="s">
        <v>574</v>
      </c>
      <c r="D326" s="271"/>
      <c r="E326" s="382">
        <v>23763</v>
      </c>
      <c r="F326" s="254">
        <v>23763</v>
      </c>
      <c r="G326" s="250">
        <f t="shared" si="2"/>
        <v>-2977612.3</v>
      </c>
      <c r="H326" s="275"/>
      <c r="I326" s="252"/>
      <c r="J326" s="252"/>
    </row>
    <row r="327" spans="1:10" ht="17.75" customHeight="1">
      <c r="A327" s="272">
        <v>46053</v>
      </c>
      <c r="B327" s="245" t="s">
        <v>572</v>
      </c>
      <c r="C327" s="273" t="s">
        <v>574</v>
      </c>
      <c r="D327" s="271"/>
      <c r="E327" s="382">
        <v>16750</v>
      </c>
      <c r="F327" s="254">
        <v>16750</v>
      </c>
      <c r="G327" s="250">
        <f t="shared" si="2"/>
        <v>-2960862.3</v>
      </c>
      <c r="H327" s="275"/>
      <c r="I327" s="252"/>
      <c r="J327" s="252"/>
    </row>
    <row r="328" spans="1:10" ht="17.75" customHeight="1">
      <c r="A328" s="272">
        <v>46053</v>
      </c>
      <c r="B328" s="245" t="s">
        <v>572</v>
      </c>
      <c r="C328" s="273" t="s">
        <v>575</v>
      </c>
      <c r="D328" s="271"/>
      <c r="E328" s="382">
        <v>8517</v>
      </c>
      <c r="F328" s="254">
        <v>8517</v>
      </c>
      <c r="G328" s="250">
        <f t="shared" si="2"/>
        <v>-2952345.3</v>
      </c>
      <c r="H328" s="275"/>
      <c r="I328" s="252"/>
      <c r="J328" s="252"/>
    </row>
    <row r="329" spans="1:10" ht="17.75" customHeight="1">
      <c r="A329" s="272">
        <v>46053</v>
      </c>
      <c r="B329" s="245" t="s">
        <v>490</v>
      </c>
      <c r="C329" s="273" t="s">
        <v>576</v>
      </c>
      <c r="D329" s="271"/>
      <c r="E329" s="384">
        <v>959000</v>
      </c>
      <c r="F329" s="333">
        <v>959000</v>
      </c>
      <c r="G329" s="250">
        <f t="shared" si="2"/>
        <v>-1993345.2999999998</v>
      </c>
      <c r="H329" s="275"/>
      <c r="I329" s="252"/>
      <c r="J329" s="252"/>
    </row>
    <row r="330" spans="1:10" ht="17.75" customHeight="1">
      <c r="A330" s="307">
        <v>46053</v>
      </c>
      <c r="B330" s="245" t="s">
        <v>572</v>
      </c>
      <c r="C330" s="277" t="s">
        <v>480</v>
      </c>
      <c r="D330" s="271"/>
      <c r="E330" s="382">
        <v>89180</v>
      </c>
      <c r="F330" s="254">
        <v>89180</v>
      </c>
      <c r="G330" s="250">
        <f t="shared" si="2"/>
        <v>-1904165.2999999998</v>
      </c>
      <c r="H330" s="278"/>
      <c r="I330" s="252"/>
      <c r="J330" s="252"/>
    </row>
    <row r="331" spans="1:10" ht="17.75" customHeight="1">
      <c r="A331" s="276">
        <v>46053</v>
      </c>
      <c r="B331" s="245" t="s">
        <v>572</v>
      </c>
      <c r="C331" s="277" t="s">
        <v>480</v>
      </c>
      <c r="D331" s="279"/>
      <c r="E331" s="382">
        <v>532416</v>
      </c>
      <c r="F331" s="249">
        <v>532416</v>
      </c>
      <c r="G331" s="250">
        <f t="shared" si="2"/>
        <v>-1371749.2999999998</v>
      </c>
      <c r="H331" s="278"/>
      <c r="I331" s="252"/>
      <c r="J331" s="252"/>
    </row>
    <row r="332" spans="1:10" ht="17.75" customHeight="1">
      <c r="A332" s="276">
        <v>46053</v>
      </c>
      <c r="B332" s="245" t="s">
        <v>572</v>
      </c>
      <c r="C332" s="277" t="s">
        <v>480</v>
      </c>
      <c r="D332" s="279"/>
      <c r="E332" s="382">
        <v>14726</v>
      </c>
      <c r="F332" s="249">
        <v>14726</v>
      </c>
      <c r="G332" s="250">
        <f t="shared" si="2"/>
        <v>-1357023.2999999998</v>
      </c>
      <c r="H332" s="278"/>
      <c r="I332" s="252"/>
      <c r="J332" s="252"/>
    </row>
    <row r="333" spans="1:10" ht="17.75" customHeight="1">
      <c r="A333" s="308">
        <v>46053</v>
      </c>
      <c r="B333" s="309" t="s">
        <v>254</v>
      </c>
      <c r="C333" s="319" t="s">
        <v>612</v>
      </c>
      <c r="D333" s="310"/>
      <c r="E333" s="385">
        <v>35463</v>
      </c>
      <c r="F333" s="311">
        <v>35463</v>
      </c>
      <c r="G333" s="250">
        <f t="shared" si="2"/>
        <v>-1321560.2999999998</v>
      </c>
      <c r="H333" s="339"/>
      <c r="I333" s="252"/>
      <c r="J333" s="252"/>
    </row>
    <row r="334" spans="1:10" ht="17.75" customHeight="1">
      <c r="A334" s="297">
        <v>46053</v>
      </c>
      <c r="B334" s="298" t="s">
        <v>591</v>
      </c>
      <c r="C334" s="318" t="s">
        <v>613</v>
      </c>
      <c r="D334" s="299"/>
      <c r="E334" s="382">
        <v>43200</v>
      </c>
      <c r="F334" s="254">
        <v>43200</v>
      </c>
      <c r="G334" s="250">
        <f t="shared" si="2"/>
        <v>-1278360.2999999998</v>
      </c>
      <c r="H334" s="340"/>
      <c r="I334" s="252"/>
      <c r="J334" s="252"/>
    </row>
    <row r="335" spans="1:10" ht="17.75" customHeight="1">
      <c r="A335" s="308">
        <v>46053</v>
      </c>
      <c r="B335" s="309" t="s">
        <v>625</v>
      </c>
      <c r="C335" s="319" t="s">
        <v>516</v>
      </c>
      <c r="D335" s="310"/>
      <c r="E335" s="385">
        <v>700000</v>
      </c>
      <c r="F335" s="311">
        <v>700000</v>
      </c>
      <c r="G335" s="250">
        <f t="shared" si="2"/>
        <v>-578360.29999999981</v>
      </c>
      <c r="H335" s="339"/>
      <c r="I335" s="252"/>
      <c r="J335" s="252"/>
    </row>
    <row r="336" spans="1:10" ht="17.75" customHeight="1">
      <c r="A336" s="308">
        <v>46053</v>
      </c>
      <c r="B336" s="309" t="s">
        <v>643</v>
      </c>
      <c r="C336" s="319" t="s">
        <v>644</v>
      </c>
      <c r="D336" s="310"/>
      <c r="E336" s="385">
        <v>261000</v>
      </c>
      <c r="F336" s="311">
        <v>261000</v>
      </c>
      <c r="G336" s="250">
        <f t="shared" si="2"/>
        <v>-317360.29999999981</v>
      </c>
      <c r="H336" s="339" t="s">
        <v>645</v>
      </c>
      <c r="I336" s="252"/>
      <c r="J336" s="252"/>
    </row>
    <row r="337" spans="1:10" ht="17.75" customHeight="1">
      <c r="A337" s="308">
        <v>46053</v>
      </c>
      <c r="B337" s="309" t="s">
        <v>450</v>
      </c>
      <c r="C337" s="319" t="s">
        <v>646</v>
      </c>
      <c r="D337" s="310"/>
      <c r="E337" s="385">
        <v>17683.2</v>
      </c>
      <c r="F337" s="311">
        <v>17683.2</v>
      </c>
      <c r="G337" s="250">
        <f t="shared" si="2"/>
        <v>-299677.0999999998</v>
      </c>
      <c r="H337" s="339"/>
      <c r="I337" s="252"/>
      <c r="J337" s="252"/>
    </row>
    <row r="338" spans="1:10" ht="17.75" customHeight="1">
      <c r="A338" s="308">
        <v>46059</v>
      </c>
      <c r="B338" s="309" t="s">
        <v>254</v>
      </c>
      <c r="C338" s="324" t="s">
        <v>652</v>
      </c>
      <c r="D338" s="310"/>
      <c r="E338" s="385">
        <v>70000</v>
      </c>
      <c r="F338" s="336">
        <v>70000</v>
      </c>
      <c r="G338" s="250">
        <f t="shared" ref="G338:G401" si="3">G337+F338-D338</f>
        <v>-229677.0999999998</v>
      </c>
      <c r="H338" s="339"/>
      <c r="I338" s="252"/>
      <c r="J338" s="252"/>
    </row>
    <row r="339" spans="1:10" ht="17.75" customHeight="1">
      <c r="A339" s="244">
        <v>46059</v>
      </c>
      <c r="B339" s="245" t="s">
        <v>450</v>
      </c>
      <c r="C339" s="253" t="s">
        <v>653</v>
      </c>
      <c r="D339" s="247"/>
      <c r="E339" s="382">
        <v>46589.35</v>
      </c>
      <c r="F339" s="254">
        <v>46589.35</v>
      </c>
      <c r="G339" s="250">
        <f t="shared" si="3"/>
        <v>-183087.7499999998</v>
      </c>
      <c r="H339" s="251"/>
      <c r="I339" s="252"/>
      <c r="J339" s="252"/>
    </row>
    <row r="340" spans="1:10" ht="17.75" customHeight="1">
      <c r="A340" s="343">
        <v>46059</v>
      </c>
      <c r="B340" s="344" t="s">
        <v>450</v>
      </c>
      <c r="C340" s="345" t="s">
        <v>655</v>
      </c>
      <c r="D340" s="346"/>
      <c r="E340" s="377">
        <v>35970</v>
      </c>
      <c r="F340" s="347">
        <v>35970</v>
      </c>
      <c r="G340" s="250">
        <f t="shared" si="3"/>
        <v>-147117.7499999998</v>
      </c>
      <c r="H340" s="349"/>
      <c r="I340" s="252"/>
      <c r="J340" s="252"/>
    </row>
    <row r="341" spans="1:10" ht="17.75" customHeight="1">
      <c r="A341" s="350">
        <v>46059</v>
      </c>
      <c r="B341" s="344" t="s">
        <v>565</v>
      </c>
      <c r="C341" s="345" t="s">
        <v>657</v>
      </c>
      <c r="D341" s="346"/>
      <c r="E341" s="377">
        <v>508787.89</v>
      </c>
      <c r="F341" s="347">
        <v>508787.89</v>
      </c>
      <c r="G341" s="250">
        <f t="shared" si="3"/>
        <v>361670.14000000025</v>
      </c>
      <c r="H341" s="349"/>
      <c r="I341" s="252"/>
      <c r="J341" s="252"/>
    </row>
    <row r="342" spans="1:10" ht="17.75" customHeight="1">
      <c r="A342" s="350">
        <v>46059</v>
      </c>
      <c r="B342" s="344" t="s">
        <v>450</v>
      </c>
      <c r="C342" s="345" t="s">
        <v>658</v>
      </c>
      <c r="D342" s="351"/>
      <c r="E342" s="377">
        <v>28750</v>
      </c>
      <c r="F342" s="347">
        <v>28750</v>
      </c>
      <c r="G342" s="250">
        <f t="shared" si="3"/>
        <v>390420.14000000025</v>
      </c>
      <c r="H342" s="349"/>
      <c r="I342" s="252"/>
      <c r="J342" s="252"/>
    </row>
    <row r="343" spans="1:10" ht="17.75" customHeight="1">
      <c r="A343" s="350">
        <v>46059</v>
      </c>
      <c r="B343" s="344" t="s">
        <v>450</v>
      </c>
      <c r="C343" s="345" t="s">
        <v>659</v>
      </c>
      <c r="D343" s="346"/>
      <c r="E343" s="377">
        <v>100000</v>
      </c>
      <c r="F343" s="347">
        <v>100000</v>
      </c>
      <c r="G343" s="250">
        <f t="shared" si="3"/>
        <v>490420.14000000025</v>
      </c>
      <c r="H343" s="352"/>
      <c r="I343" s="252"/>
      <c r="J343" s="252"/>
    </row>
    <row r="344" spans="1:10" ht="17.75" customHeight="1">
      <c r="A344" s="350">
        <v>46059</v>
      </c>
      <c r="B344" s="344" t="s">
        <v>660</v>
      </c>
      <c r="C344" s="345" t="s">
        <v>661</v>
      </c>
      <c r="D344" s="346"/>
      <c r="E344" s="377">
        <v>9200</v>
      </c>
      <c r="F344" s="347">
        <v>9200</v>
      </c>
      <c r="G344" s="250">
        <f t="shared" si="3"/>
        <v>499620.14000000025</v>
      </c>
      <c r="H344" s="349"/>
      <c r="I344" s="252"/>
      <c r="J344" s="252"/>
    </row>
    <row r="345" spans="1:10" ht="17.75" customHeight="1">
      <c r="A345" s="244">
        <v>46059</v>
      </c>
      <c r="B345" s="245" t="s">
        <v>660</v>
      </c>
      <c r="C345" s="253" t="s">
        <v>662</v>
      </c>
      <c r="D345" s="247"/>
      <c r="E345" s="382">
        <v>6000</v>
      </c>
      <c r="F345" s="254">
        <v>6000</v>
      </c>
      <c r="G345" s="250">
        <f t="shared" si="3"/>
        <v>505620.14000000025</v>
      </c>
      <c r="H345" s="251"/>
      <c r="I345" s="252"/>
      <c r="J345" s="252"/>
    </row>
    <row r="346" spans="1:10" ht="17.75" customHeight="1">
      <c r="A346" s="244">
        <v>46059</v>
      </c>
      <c r="B346" s="245" t="s">
        <v>320</v>
      </c>
      <c r="C346" s="301" t="s">
        <v>663</v>
      </c>
      <c r="D346" s="247">
        <v>110000</v>
      </c>
      <c r="E346" s="382">
        <v>0</v>
      </c>
      <c r="F346" s="254">
        <v>0</v>
      </c>
      <c r="G346" s="250">
        <f t="shared" si="3"/>
        <v>395620.14000000025</v>
      </c>
      <c r="H346" s="251"/>
      <c r="I346" s="252"/>
      <c r="J346" s="252"/>
    </row>
    <row r="347" spans="1:10" ht="17.75" customHeight="1">
      <c r="A347" s="244">
        <v>46059</v>
      </c>
      <c r="B347" s="245" t="s">
        <v>450</v>
      </c>
      <c r="C347" s="253" t="s">
        <v>664</v>
      </c>
      <c r="D347" s="247"/>
      <c r="E347" s="382">
        <v>99120</v>
      </c>
      <c r="F347" s="254">
        <v>99120</v>
      </c>
      <c r="G347" s="250">
        <f t="shared" si="3"/>
        <v>494740.14000000025</v>
      </c>
      <c r="H347" s="251"/>
      <c r="I347" s="252"/>
      <c r="J347" s="252"/>
    </row>
    <row r="348" spans="1:10" ht="17.75" customHeight="1">
      <c r="A348" s="244">
        <v>46059</v>
      </c>
      <c r="B348" s="245" t="s">
        <v>660</v>
      </c>
      <c r="C348" s="246" t="s">
        <v>665</v>
      </c>
      <c r="D348" s="262"/>
      <c r="E348" s="382">
        <v>10000</v>
      </c>
      <c r="F348" s="254">
        <v>10000</v>
      </c>
      <c r="G348" s="250">
        <f t="shared" si="3"/>
        <v>504740.14000000025</v>
      </c>
      <c r="H348" s="251"/>
      <c r="I348" s="252"/>
      <c r="J348" s="252"/>
    </row>
    <row r="349" spans="1:10" ht="17.75" customHeight="1">
      <c r="A349" s="244">
        <v>46059</v>
      </c>
      <c r="B349" s="245" t="s">
        <v>450</v>
      </c>
      <c r="C349" s="263" t="s">
        <v>666</v>
      </c>
      <c r="D349" s="247"/>
      <c r="E349" s="382">
        <v>27000</v>
      </c>
      <c r="F349" s="254">
        <v>27000</v>
      </c>
      <c r="G349" s="250">
        <f t="shared" si="3"/>
        <v>531740.14000000025</v>
      </c>
      <c r="H349" s="259" t="s">
        <v>667</v>
      </c>
      <c r="I349" s="252"/>
      <c r="J349" s="252"/>
    </row>
    <row r="350" spans="1:10" ht="17.75" customHeight="1">
      <c r="A350" s="244">
        <v>46062</v>
      </c>
      <c r="B350" s="245" t="s">
        <v>684</v>
      </c>
      <c r="C350" s="263" t="s">
        <v>685</v>
      </c>
      <c r="D350" s="247"/>
      <c r="E350" s="382">
        <v>4000</v>
      </c>
      <c r="F350" s="257">
        <v>4000</v>
      </c>
      <c r="G350" s="250">
        <f t="shared" si="3"/>
        <v>535740.14000000025</v>
      </c>
      <c r="H350" s="269"/>
      <c r="I350" s="252"/>
      <c r="J350" s="252"/>
    </row>
    <row r="351" spans="1:10" ht="17.75" customHeight="1">
      <c r="A351" s="244">
        <v>46062</v>
      </c>
      <c r="B351" s="245" t="s">
        <v>254</v>
      </c>
      <c r="C351" s="263" t="s">
        <v>654</v>
      </c>
      <c r="D351" s="256"/>
      <c r="E351" s="382">
        <v>245000</v>
      </c>
      <c r="F351" s="257">
        <v>245000</v>
      </c>
      <c r="G351" s="250">
        <f t="shared" si="3"/>
        <v>780740.14000000025</v>
      </c>
      <c r="H351" s="251"/>
      <c r="I351" s="252"/>
      <c r="J351" s="252"/>
    </row>
    <row r="352" spans="1:10" ht="17.75" customHeight="1">
      <c r="A352" s="244">
        <v>46063</v>
      </c>
      <c r="B352" s="245" t="s">
        <v>288</v>
      </c>
      <c r="C352" s="253" t="s">
        <v>670</v>
      </c>
      <c r="D352" s="260"/>
      <c r="E352" s="382">
        <v>2234289</v>
      </c>
      <c r="F352" s="254">
        <v>2234000</v>
      </c>
      <c r="G352" s="250">
        <f t="shared" si="3"/>
        <v>3014740.14</v>
      </c>
      <c r="H352" s="251"/>
      <c r="I352" s="252"/>
      <c r="J352" s="252"/>
    </row>
    <row r="353" spans="1:10" ht="17.75" customHeight="1">
      <c r="A353" s="244">
        <v>46063</v>
      </c>
      <c r="B353" s="245" t="s">
        <v>288</v>
      </c>
      <c r="C353" s="253" t="s">
        <v>671</v>
      </c>
      <c r="D353" s="247"/>
      <c r="E353" s="382">
        <v>3500000</v>
      </c>
      <c r="F353" s="290">
        <v>3500000</v>
      </c>
      <c r="G353" s="250">
        <f t="shared" si="3"/>
        <v>6514740.1400000006</v>
      </c>
      <c r="H353" s="251"/>
      <c r="I353" s="252"/>
      <c r="J353" s="252"/>
    </row>
    <row r="354" spans="1:10" ht="17.75" customHeight="1">
      <c r="A354" s="244">
        <v>46063</v>
      </c>
      <c r="B354" s="245" t="s">
        <v>288</v>
      </c>
      <c r="C354" s="253" t="s">
        <v>672</v>
      </c>
      <c r="D354" s="247"/>
      <c r="E354" s="382">
        <v>245000</v>
      </c>
      <c r="F354" s="254">
        <v>245000</v>
      </c>
      <c r="G354" s="250">
        <f t="shared" si="3"/>
        <v>6759740.1400000006</v>
      </c>
      <c r="H354" s="251"/>
      <c r="I354" s="252"/>
      <c r="J354" s="252"/>
    </row>
    <row r="355" spans="1:10" ht="17.75" customHeight="1">
      <c r="A355" s="244">
        <v>46063</v>
      </c>
      <c r="B355" s="245" t="s">
        <v>288</v>
      </c>
      <c r="C355" s="320" t="s">
        <v>673</v>
      </c>
      <c r="D355" s="247"/>
      <c r="E355" s="382">
        <v>176000</v>
      </c>
      <c r="F355" s="257">
        <v>176000</v>
      </c>
      <c r="G355" s="250">
        <f t="shared" si="3"/>
        <v>6935740.1400000006</v>
      </c>
      <c r="H355" s="251"/>
      <c r="I355" s="252"/>
      <c r="J355" s="252"/>
    </row>
    <row r="356" spans="1:10" ht="17.75" customHeight="1">
      <c r="A356" s="244">
        <v>46063</v>
      </c>
      <c r="B356" s="245" t="s">
        <v>288</v>
      </c>
      <c r="C356" s="253" t="s">
        <v>674</v>
      </c>
      <c r="D356" s="247"/>
      <c r="E356" s="382">
        <v>16846</v>
      </c>
      <c r="F356" s="254">
        <v>16846</v>
      </c>
      <c r="G356" s="250">
        <f t="shared" si="3"/>
        <v>6952586.1400000006</v>
      </c>
      <c r="H356" s="251"/>
      <c r="I356" s="252"/>
      <c r="J356" s="252"/>
    </row>
    <row r="357" spans="1:10" ht="17.75" customHeight="1">
      <c r="A357" s="244">
        <v>46063</v>
      </c>
      <c r="B357" s="245" t="s">
        <v>288</v>
      </c>
      <c r="C357" s="253" t="s">
        <v>675</v>
      </c>
      <c r="D357" s="247"/>
      <c r="E357" s="382">
        <v>4889</v>
      </c>
      <c r="F357" s="257">
        <v>4889</v>
      </c>
      <c r="G357" s="250">
        <f t="shared" si="3"/>
        <v>6957475.1400000006</v>
      </c>
      <c r="H357" s="251"/>
      <c r="I357" s="252"/>
      <c r="J357" s="252"/>
    </row>
    <row r="358" spans="1:10" ht="17.75" customHeight="1">
      <c r="A358" s="244">
        <v>46063</v>
      </c>
      <c r="B358" s="245" t="s">
        <v>681</v>
      </c>
      <c r="C358" s="246" t="s">
        <v>682</v>
      </c>
      <c r="D358" s="247"/>
      <c r="E358" s="382">
        <v>110000</v>
      </c>
      <c r="F358" s="254">
        <v>110000</v>
      </c>
      <c r="G358" s="250">
        <f t="shared" si="3"/>
        <v>7067475.1400000006</v>
      </c>
      <c r="H358" s="294" t="s">
        <v>683</v>
      </c>
      <c r="I358" s="252"/>
      <c r="J358" s="252"/>
    </row>
    <row r="359" spans="1:10" ht="17.75" customHeight="1">
      <c r="A359" s="244">
        <v>46063</v>
      </c>
      <c r="B359" s="245" t="s">
        <v>686</v>
      </c>
      <c r="C359" s="263" t="s">
        <v>687</v>
      </c>
      <c r="D359" s="247"/>
      <c r="E359" s="382">
        <v>18000</v>
      </c>
      <c r="F359" s="254">
        <v>18000</v>
      </c>
      <c r="G359" s="250">
        <f t="shared" si="3"/>
        <v>7085475.1400000006</v>
      </c>
      <c r="H359" s="294"/>
      <c r="I359" s="252"/>
      <c r="J359" s="252"/>
    </row>
    <row r="360" spans="1:10" ht="17.75" customHeight="1">
      <c r="A360" s="244">
        <v>46063</v>
      </c>
      <c r="B360" s="245" t="s">
        <v>699</v>
      </c>
      <c r="C360" s="253" t="s">
        <v>700</v>
      </c>
      <c r="D360" s="247"/>
      <c r="E360" s="386">
        <v>45000</v>
      </c>
      <c r="F360" s="254">
        <v>45000</v>
      </c>
      <c r="G360" s="250">
        <f t="shared" si="3"/>
        <v>7130475.1400000006</v>
      </c>
      <c r="H360" s="251"/>
      <c r="I360" s="252"/>
      <c r="J360" s="252"/>
    </row>
    <row r="361" spans="1:10" ht="17.75" customHeight="1">
      <c r="A361" s="244">
        <v>46063</v>
      </c>
      <c r="B361" s="245" t="s">
        <v>320</v>
      </c>
      <c r="C361" s="255" t="s">
        <v>705</v>
      </c>
      <c r="D361" s="247">
        <v>2000000</v>
      </c>
      <c r="E361" s="382"/>
      <c r="F361" s="257">
        <v>0</v>
      </c>
      <c r="G361" s="250">
        <f t="shared" si="3"/>
        <v>5130475.1400000006</v>
      </c>
      <c r="H361" s="269"/>
      <c r="I361" s="252"/>
      <c r="J361" s="252"/>
    </row>
    <row r="362" spans="1:10" ht="17.75" customHeight="1">
      <c r="A362" s="244">
        <v>46064</v>
      </c>
      <c r="B362" s="245" t="s">
        <v>320</v>
      </c>
      <c r="C362" s="255" t="s">
        <v>706</v>
      </c>
      <c r="D362" s="247">
        <v>486000</v>
      </c>
      <c r="E362" s="382">
        <v>0</v>
      </c>
      <c r="F362" s="257">
        <v>0</v>
      </c>
      <c r="G362" s="250">
        <f t="shared" si="3"/>
        <v>4644475.1400000006</v>
      </c>
      <c r="H362" s="259" t="s">
        <v>707</v>
      </c>
      <c r="I362" s="252"/>
      <c r="J362" s="252"/>
    </row>
    <row r="363" spans="1:10" ht="17.75" customHeight="1">
      <c r="A363" s="244">
        <v>46065</v>
      </c>
      <c r="B363" s="245" t="s">
        <v>254</v>
      </c>
      <c r="C363" s="253" t="s">
        <v>526</v>
      </c>
      <c r="D363" s="247"/>
      <c r="E363" s="382">
        <v>268000</v>
      </c>
      <c r="F363" s="257">
        <v>268000</v>
      </c>
      <c r="G363" s="250">
        <f t="shared" si="3"/>
        <v>4912475.1400000006</v>
      </c>
      <c r="H363" s="251"/>
      <c r="I363" s="252"/>
      <c r="J363" s="252"/>
    </row>
    <row r="364" spans="1:10" ht="17.75" customHeight="1">
      <c r="A364" s="244">
        <v>46065</v>
      </c>
      <c r="B364" s="245" t="s">
        <v>679</v>
      </c>
      <c r="C364" s="253" t="s">
        <v>455</v>
      </c>
      <c r="D364" s="260"/>
      <c r="E364" s="382">
        <v>660000</v>
      </c>
      <c r="F364" s="254">
        <v>660000</v>
      </c>
      <c r="G364" s="250">
        <f t="shared" si="3"/>
        <v>5572475.1400000006</v>
      </c>
      <c r="H364" s="294"/>
      <c r="I364" s="252"/>
      <c r="J364" s="252"/>
    </row>
    <row r="365" spans="1:10" ht="17.75" customHeight="1">
      <c r="A365" s="244">
        <v>46065</v>
      </c>
      <c r="B365" s="245" t="s">
        <v>679</v>
      </c>
      <c r="C365" s="246" t="s">
        <v>680</v>
      </c>
      <c r="D365" s="262"/>
      <c r="E365" s="382">
        <v>288000</v>
      </c>
      <c r="F365" s="257">
        <v>288000</v>
      </c>
      <c r="G365" s="250">
        <f t="shared" si="3"/>
        <v>5860475.1400000006</v>
      </c>
      <c r="H365" s="269" t="s">
        <v>702</v>
      </c>
      <c r="I365" s="252"/>
      <c r="J365" s="252"/>
    </row>
    <row r="366" spans="1:10" ht="17.75" customHeight="1">
      <c r="A366" s="244">
        <v>46065</v>
      </c>
      <c r="B366" s="245" t="s">
        <v>697</v>
      </c>
      <c r="C366" s="253" t="s">
        <v>698</v>
      </c>
      <c r="D366" s="247"/>
      <c r="E366" s="382">
        <v>120000</v>
      </c>
      <c r="F366" s="257">
        <v>0</v>
      </c>
      <c r="G366" s="250">
        <f t="shared" si="3"/>
        <v>5860475.1400000006</v>
      </c>
      <c r="H366" s="251"/>
      <c r="I366" s="252"/>
      <c r="J366" s="252"/>
    </row>
    <row r="367" spans="1:10" ht="17.75" customHeight="1">
      <c r="A367" s="244">
        <v>46065</v>
      </c>
      <c r="B367" s="245" t="s">
        <v>450</v>
      </c>
      <c r="C367" s="253" t="s">
        <v>710</v>
      </c>
      <c r="D367" s="247"/>
      <c r="E367" s="382">
        <v>5272</v>
      </c>
      <c r="F367" s="257">
        <v>5272</v>
      </c>
      <c r="G367" s="250">
        <f t="shared" si="3"/>
        <v>5865747.1400000006</v>
      </c>
      <c r="H367" s="251"/>
      <c r="I367" s="252"/>
      <c r="J367" s="252"/>
    </row>
    <row r="368" spans="1:10" ht="17.75" customHeight="1">
      <c r="A368" s="244">
        <v>46065</v>
      </c>
      <c r="B368" s="245" t="s">
        <v>565</v>
      </c>
      <c r="C368" s="253" t="s">
        <v>711</v>
      </c>
      <c r="D368" s="247"/>
      <c r="E368" s="386">
        <v>30065</v>
      </c>
      <c r="F368" s="257">
        <v>30065</v>
      </c>
      <c r="G368" s="250">
        <f t="shared" si="3"/>
        <v>5895812.1400000006</v>
      </c>
      <c r="H368" s="269" t="s">
        <v>712</v>
      </c>
      <c r="I368" s="252"/>
      <c r="J368" s="252"/>
    </row>
    <row r="369" spans="1:10" ht="17.75" customHeight="1">
      <c r="A369" s="244">
        <v>46065</v>
      </c>
      <c r="B369" s="245" t="s">
        <v>320</v>
      </c>
      <c r="C369" s="255" t="s">
        <v>656</v>
      </c>
      <c r="D369" s="247">
        <v>2077287.53</v>
      </c>
      <c r="E369" s="382">
        <v>0</v>
      </c>
      <c r="F369" s="257">
        <v>0</v>
      </c>
      <c r="G369" s="250">
        <f t="shared" si="3"/>
        <v>3818524.6100000003</v>
      </c>
      <c r="H369" s="251"/>
      <c r="I369" s="252"/>
      <c r="J369" s="252"/>
    </row>
    <row r="370" spans="1:10" ht="17.75" customHeight="1">
      <c r="A370" s="244">
        <v>46066</v>
      </c>
      <c r="B370" s="245" t="s">
        <v>254</v>
      </c>
      <c r="C370" s="253" t="s">
        <v>520</v>
      </c>
      <c r="D370" s="247"/>
      <c r="E370" s="382">
        <v>116113</v>
      </c>
      <c r="F370" s="257">
        <v>116113</v>
      </c>
      <c r="G370" s="250">
        <f t="shared" si="3"/>
        <v>3934637.6100000003</v>
      </c>
      <c r="H370" s="251"/>
      <c r="I370" s="252"/>
      <c r="J370" s="252"/>
    </row>
    <row r="371" spans="1:10" ht="17.75" customHeight="1">
      <c r="A371" s="244">
        <v>46066</v>
      </c>
      <c r="B371" s="245" t="s">
        <v>703</v>
      </c>
      <c r="C371" s="253" t="s">
        <v>704</v>
      </c>
      <c r="D371" s="247"/>
      <c r="E371" s="382">
        <v>70000</v>
      </c>
      <c r="F371" s="257">
        <v>70000</v>
      </c>
      <c r="G371" s="250">
        <f t="shared" si="3"/>
        <v>4004637.6100000003</v>
      </c>
      <c r="H371" s="291"/>
      <c r="I371" s="252"/>
      <c r="J371" s="252"/>
    </row>
    <row r="372" spans="1:10" ht="17.75" customHeight="1">
      <c r="A372" s="244">
        <v>46066</v>
      </c>
      <c r="B372" s="245" t="s">
        <v>625</v>
      </c>
      <c r="C372" s="255" t="s">
        <v>713</v>
      </c>
      <c r="D372" s="247">
        <v>2264000</v>
      </c>
      <c r="E372" s="382">
        <v>0</v>
      </c>
      <c r="F372" s="257">
        <v>0</v>
      </c>
      <c r="G372" s="250">
        <f t="shared" si="3"/>
        <v>1740637.6100000003</v>
      </c>
      <c r="H372" s="251"/>
      <c r="I372" s="252"/>
      <c r="J372" s="252"/>
    </row>
    <row r="373" spans="1:10" ht="17.75" customHeight="1">
      <c r="A373" s="244">
        <v>46066</v>
      </c>
      <c r="B373" s="245" t="s">
        <v>444</v>
      </c>
      <c r="C373" s="253" t="s">
        <v>709</v>
      </c>
      <c r="D373" s="247"/>
      <c r="E373" s="382">
        <v>173000</v>
      </c>
      <c r="F373" s="257">
        <v>173000</v>
      </c>
      <c r="G373" s="250">
        <f t="shared" si="3"/>
        <v>1913637.6100000003</v>
      </c>
      <c r="H373" s="251"/>
      <c r="I373" s="295"/>
      <c r="J373" s="252"/>
    </row>
    <row r="374" spans="1:10" ht="17.75" customHeight="1">
      <c r="A374" s="244">
        <v>46066</v>
      </c>
      <c r="B374" s="245" t="s">
        <v>450</v>
      </c>
      <c r="C374" s="253" t="s">
        <v>716</v>
      </c>
      <c r="D374" s="247"/>
      <c r="E374" s="382">
        <v>15000</v>
      </c>
      <c r="F374" s="257">
        <v>15000</v>
      </c>
      <c r="G374" s="250">
        <f t="shared" si="3"/>
        <v>1928637.6100000003</v>
      </c>
      <c r="H374" s="251"/>
      <c r="I374" s="252"/>
      <c r="J374" s="252"/>
    </row>
    <row r="375" spans="1:10" ht="17.75" customHeight="1">
      <c r="A375" s="244">
        <v>46067</v>
      </c>
      <c r="B375" s="245" t="s">
        <v>254</v>
      </c>
      <c r="C375" s="253" t="s">
        <v>678</v>
      </c>
      <c r="D375" s="247"/>
      <c r="E375" s="382">
        <v>36000</v>
      </c>
      <c r="F375" s="257">
        <v>36000</v>
      </c>
      <c r="G375" s="250">
        <f t="shared" si="3"/>
        <v>1964637.6100000003</v>
      </c>
      <c r="H375" s="251"/>
      <c r="I375" s="252"/>
      <c r="J375" s="252"/>
    </row>
    <row r="376" spans="1:10" ht="17.75" customHeight="1">
      <c r="A376" s="265">
        <v>46069</v>
      </c>
      <c r="B376" s="245" t="s">
        <v>254</v>
      </c>
      <c r="C376" s="305" t="s">
        <v>701</v>
      </c>
      <c r="D376" s="247"/>
      <c r="E376" s="387">
        <v>223000</v>
      </c>
      <c r="F376" s="267">
        <v>223000</v>
      </c>
      <c r="G376" s="250">
        <f t="shared" si="3"/>
        <v>2187637.6100000003</v>
      </c>
      <c r="H376" s="338"/>
      <c r="I376" s="252"/>
      <c r="J376" s="252"/>
    </row>
    <row r="377" spans="1:10" ht="17.75" customHeight="1">
      <c r="A377" s="313">
        <v>46069</v>
      </c>
      <c r="B377" s="245" t="s">
        <v>444</v>
      </c>
      <c r="C377" s="253" t="s">
        <v>715</v>
      </c>
      <c r="D377" s="247"/>
      <c r="E377" s="382">
        <v>78000</v>
      </c>
      <c r="F377" s="257">
        <v>78000</v>
      </c>
      <c r="G377" s="250">
        <f t="shared" si="3"/>
        <v>2265637.6100000003</v>
      </c>
      <c r="H377" s="251"/>
      <c r="I377" s="252"/>
      <c r="J377" s="252"/>
    </row>
    <row r="378" spans="1:10" ht="17.75" customHeight="1">
      <c r="A378" s="244">
        <v>46070</v>
      </c>
      <c r="B378" s="245" t="s">
        <v>300</v>
      </c>
      <c r="C378" s="253" t="s">
        <v>668</v>
      </c>
      <c r="D378" s="247"/>
      <c r="E378" s="382">
        <v>546000</v>
      </c>
      <c r="F378" s="257">
        <v>546000</v>
      </c>
      <c r="G378" s="250">
        <f t="shared" si="3"/>
        <v>2811637.6100000003</v>
      </c>
      <c r="H378" s="251"/>
      <c r="I378" s="292"/>
      <c r="J378" s="252"/>
    </row>
    <row r="379" spans="1:10" ht="17.75" customHeight="1">
      <c r="A379" s="244">
        <v>46070</v>
      </c>
      <c r="B379" s="245" t="s">
        <v>300</v>
      </c>
      <c r="C379" s="263" t="s">
        <v>669</v>
      </c>
      <c r="D379" s="262"/>
      <c r="E379" s="382">
        <v>178881.94</v>
      </c>
      <c r="F379" s="248">
        <v>178881.94</v>
      </c>
      <c r="G379" s="250">
        <f t="shared" si="3"/>
        <v>2990519.5500000003</v>
      </c>
      <c r="H379" s="251"/>
      <c r="I379" s="252"/>
      <c r="J379" s="252"/>
    </row>
    <row r="380" spans="1:10" ht="17.75" customHeight="1">
      <c r="A380" s="244">
        <v>46070</v>
      </c>
      <c r="B380" s="245" t="s">
        <v>254</v>
      </c>
      <c r="C380" s="253" t="s">
        <v>654</v>
      </c>
      <c r="D380" s="247"/>
      <c r="E380" s="382">
        <v>603000</v>
      </c>
      <c r="F380" s="257">
        <v>603000</v>
      </c>
      <c r="G380" s="250">
        <f t="shared" si="3"/>
        <v>3593519.5500000003</v>
      </c>
      <c r="H380" s="251"/>
      <c r="I380" s="252"/>
      <c r="J380" s="252"/>
    </row>
    <row r="381" spans="1:10" ht="17.75" customHeight="1">
      <c r="A381" s="283">
        <v>46070</v>
      </c>
      <c r="B381" s="245" t="s">
        <v>300</v>
      </c>
      <c r="C381" s="253" t="s">
        <v>714</v>
      </c>
      <c r="D381" s="247"/>
      <c r="E381" s="382">
        <v>28413</v>
      </c>
      <c r="F381" s="248">
        <v>28413</v>
      </c>
      <c r="G381" s="250">
        <f t="shared" si="3"/>
        <v>3621932.5500000003</v>
      </c>
      <c r="H381" s="251"/>
      <c r="I381" s="252"/>
      <c r="J381" s="252"/>
    </row>
    <row r="382" spans="1:10" ht="17.75" customHeight="1">
      <c r="A382" s="270">
        <v>46071</v>
      </c>
      <c r="B382" s="245" t="s">
        <v>288</v>
      </c>
      <c r="C382" s="281" t="s">
        <v>719</v>
      </c>
      <c r="D382" s="271"/>
      <c r="E382" s="388">
        <v>490000</v>
      </c>
      <c r="F382" s="334">
        <v>490000</v>
      </c>
      <c r="G382" s="250">
        <f t="shared" si="3"/>
        <v>4111932.5500000003</v>
      </c>
      <c r="H382" s="282"/>
      <c r="I382" s="252"/>
      <c r="J382" s="252"/>
    </row>
    <row r="383" spans="1:10" ht="17.75" customHeight="1">
      <c r="A383" s="244">
        <v>46071</v>
      </c>
      <c r="B383" s="245" t="s">
        <v>721</v>
      </c>
      <c r="C383" s="253" t="s">
        <v>720</v>
      </c>
      <c r="D383" s="271">
        <v>3919856.17</v>
      </c>
      <c r="E383" s="382">
        <v>0</v>
      </c>
      <c r="F383" s="257">
        <v>0</v>
      </c>
      <c r="G383" s="250">
        <f t="shared" si="3"/>
        <v>192076.38000000035</v>
      </c>
      <c r="H383" s="251"/>
      <c r="I383" s="252"/>
      <c r="J383" s="252"/>
    </row>
    <row r="384" spans="1:10" ht="17.75" customHeight="1">
      <c r="A384" s="244">
        <v>46071</v>
      </c>
      <c r="B384" s="245" t="s">
        <v>450</v>
      </c>
      <c r="C384" s="253" t="s">
        <v>722</v>
      </c>
      <c r="D384" s="271"/>
      <c r="E384" s="382">
        <v>465000</v>
      </c>
      <c r="F384" s="257">
        <v>465000</v>
      </c>
      <c r="G384" s="250">
        <f t="shared" si="3"/>
        <v>657076.38000000035</v>
      </c>
      <c r="H384" s="251"/>
      <c r="I384" s="252"/>
      <c r="J384" s="252"/>
    </row>
    <row r="385" spans="1:10" ht="17.75" customHeight="1">
      <c r="A385" s="272">
        <v>46071</v>
      </c>
      <c r="B385" s="245" t="s">
        <v>254</v>
      </c>
      <c r="C385" s="273" t="s">
        <v>723</v>
      </c>
      <c r="D385" s="271"/>
      <c r="E385" s="383">
        <v>30000</v>
      </c>
      <c r="F385" s="274">
        <v>30000</v>
      </c>
      <c r="G385" s="250">
        <f t="shared" si="3"/>
        <v>687076.38000000035</v>
      </c>
      <c r="H385" s="275"/>
      <c r="I385" s="252"/>
      <c r="J385" s="252"/>
    </row>
    <row r="386" spans="1:10" ht="17.75" customHeight="1">
      <c r="A386" s="272">
        <v>46071</v>
      </c>
      <c r="B386" s="245" t="s">
        <v>320</v>
      </c>
      <c r="C386" s="273" t="s">
        <v>724</v>
      </c>
      <c r="D386" s="271">
        <v>280000</v>
      </c>
      <c r="E386" s="383">
        <v>0</v>
      </c>
      <c r="F386" s="274">
        <v>0</v>
      </c>
      <c r="G386" s="250">
        <f t="shared" si="3"/>
        <v>407076.38000000035</v>
      </c>
      <c r="H386" s="275" t="s">
        <v>725</v>
      </c>
      <c r="I386" s="252"/>
      <c r="J386" s="252"/>
    </row>
    <row r="387" spans="1:10" ht="17.75" customHeight="1">
      <c r="A387" s="272">
        <v>46072</v>
      </c>
      <c r="B387" s="245" t="s">
        <v>320</v>
      </c>
      <c r="C387" s="273" t="s">
        <v>726</v>
      </c>
      <c r="D387" s="271"/>
      <c r="E387" s="383">
        <v>10000</v>
      </c>
      <c r="F387" s="274">
        <v>10000</v>
      </c>
      <c r="G387" s="250">
        <f t="shared" si="3"/>
        <v>417076.38000000035</v>
      </c>
      <c r="H387" s="275"/>
      <c r="I387" s="252"/>
      <c r="J387" s="252"/>
    </row>
    <row r="388" spans="1:10" ht="17.75" customHeight="1">
      <c r="A388" s="272">
        <v>46072</v>
      </c>
      <c r="B388" s="245" t="s">
        <v>660</v>
      </c>
      <c r="C388" s="306" t="s">
        <v>727</v>
      </c>
      <c r="D388" s="271"/>
      <c r="E388" s="383">
        <v>90000</v>
      </c>
      <c r="F388" s="290">
        <v>90000</v>
      </c>
      <c r="G388" s="250">
        <f t="shared" si="3"/>
        <v>507076.38000000035</v>
      </c>
      <c r="H388" s="284"/>
      <c r="I388" s="252"/>
      <c r="J388" s="252"/>
    </row>
    <row r="389" spans="1:10" ht="17.75" customHeight="1">
      <c r="A389" s="272">
        <v>46072</v>
      </c>
      <c r="B389" s="245" t="s">
        <v>450</v>
      </c>
      <c r="C389" s="306" t="s">
        <v>730</v>
      </c>
      <c r="D389" s="271"/>
      <c r="E389" s="383">
        <v>9073.33</v>
      </c>
      <c r="F389" s="274">
        <v>9073.33</v>
      </c>
      <c r="G389" s="250">
        <f t="shared" si="3"/>
        <v>516149.71000000037</v>
      </c>
      <c r="H389" s="284"/>
      <c r="I389" s="252"/>
      <c r="J389" s="252"/>
    </row>
    <row r="390" spans="1:10" ht="17.75" customHeight="1">
      <c r="A390" s="272">
        <v>46072</v>
      </c>
      <c r="B390" s="245" t="s">
        <v>450</v>
      </c>
      <c r="C390" s="306" t="s">
        <v>731</v>
      </c>
      <c r="D390" s="271"/>
      <c r="E390" s="383">
        <v>26400</v>
      </c>
      <c r="F390" s="285">
        <v>26400</v>
      </c>
      <c r="G390" s="250">
        <f t="shared" si="3"/>
        <v>542549.71000000043</v>
      </c>
      <c r="H390" s="284"/>
      <c r="I390" s="252"/>
      <c r="J390" s="252"/>
    </row>
    <row r="391" spans="1:10" ht="17.75" customHeight="1">
      <c r="A391" s="276">
        <v>46073</v>
      </c>
      <c r="B391" s="245" t="s">
        <v>676</v>
      </c>
      <c r="C391" s="277" t="s">
        <v>677</v>
      </c>
      <c r="D391" s="271"/>
      <c r="E391" s="389">
        <v>185000</v>
      </c>
      <c r="F391" s="290">
        <v>0</v>
      </c>
      <c r="G391" s="250">
        <f t="shared" si="3"/>
        <v>542549.71000000043</v>
      </c>
      <c r="H391" s="278"/>
      <c r="I391" s="252"/>
      <c r="J391" s="252"/>
    </row>
    <row r="392" spans="1:10" ht="17.75" customHeight="1">
      <c r="A392" s="276">
        <v>46073</v>
      </c>
      <c r="B392" s="245" t="s">
        <v>254</v>
      </c>
      <c r="C392" s="277" t="s">
        <v>708</v>
      </c>
      <c r="D392" s="279"/>
      <c r="E392" s="389">
        <v>863000</v>
      </c>
      <c r="F392" s="285">
        <v>0</v>
      </c>
      <c r="G392" s="250">
        <f t="shared" si="3"/>
        <v>542549.71000000043</v>
      </c>
      <c r="H392" s="278"/>
      <c r="I392" s="252"/>
      <c r="J392" s="252"/>
    </row>
    <row r="393" spans="1:10" ht="17.75" customHeight="1">
      <c r="A393" s="276">
        <v>46073</v>
      </c>
      <c r="B393" s="245" t="s">
        <v>450</v>
      </c>
      <c r="C393" s="296" t="s">
        <v>729</v>
      </c>
      <c r="D393" s="279"/>
      <c r="E393" s="389">
        <v>71250</v>
      </c>
      <c r="F393" s="285">
        <v>0</v>
      </c>
      <c r="G393" s="250">
        <f t="shared" si="3"/>
        <v>542549.71000000043</v>
      </c>
      <c r="H393" s="280"/>
      <c r="I393" s="252"/>
      <c r="J393" s="252"/>
    </row>
    <row r="394" spans="1:10" ht="17.75" customHeight="1">
      <c r="A394" s="283">
        <v>46078</v>
      </c>
      <c r="B394" s="245" t="s">
        <v>254</v>
      </c>
      <c r="C394" s="263" t="s">
        <v>709</v>
      </c>
      <c r="D394" s="247"/>
      <c r="E394" s="382">
        <v>782000</v>
      </c>
      <c r="F394" s="257">
        <v>0</v>
      </c>
      <c r="G394" s="250">
        <f t="shared" si="3"/>
        <v>542549.71000000043</v>
      </c>
      <c r="H394" s="251"/>
      <c r="I394" s="252"/>
      <c r="J394" s="252"/>
    </row>
    <row r="395" spans="1:10" ht="17.75" customHeight="1">
      <c r="A395" s="244">
        <v>46078</v>
      </c>
      <c r="B395" s="245" t="s">
        <v>444</v>
      </c>
      <c r="C395" s="253" t="s">
        <v>717</v>
      </c>
      <c r="D395" s="247"/>
      <c r="E395" s="382">
        <v>816000</v>
      </c>
      <c r="F395" s="257">
        <v>0</v>
      </c>
      <c r="G395" s="250">
        <f t="shared" si="3"/>
        <v>542549.71000000043</v>
      </c>
      <c r="H395" s="269"/>
      <c r="I395" s="252"/>
      <c r="J395" s="252"/>
    </row>
    <row r="396" spans="1:10" ht="17.75" customHeight="1">
      <c r="A396" s="244">
        <v>46078</v>
      </c>
      <c r="B396" s="245" t="s">
        <v>444</v>
      </c>
      <c r="C396" s="253" t="s">
        <v>718</v>
      </c>
      <c r="D396" s="247"/>
      <c r="E396" s="382">
        <v>78000</v>
      </c>
      <c r="F396" s="257">
        <v>78000</v>
      </c>
      <c r="G396" s="250">
        <f t="shared" si="3"/>
        <v>620549.71000000043</v>
      </c>
      <c r="H396" s="269"/>
      <c r="I396" s="252"/>
      <c r="J396" s="252"/>
    </row>
    <row r="397" spans="1:10" ht="17.75" customHeight="1">
      <c r="A397" s="270">
        <v>46078</v>
      </c>
      <c r="B397" s="245" t="s">
        <v>450</v>
      </c>
      <c r="C397" s="322" t="s">
        <v>485</v>
      </c>
      <c r="D397" s="271"/>
      <c r="E397" s="388">
        <v>19758</v>
      </c>
      <c r="F397" s="334"/>
      <c r="G397" s="250">
        <f t="shared" si="3"/>
        <v>620549.71000000043</v>
      </c>
      <c r="H397" s="304"/>
      <c r="I397" s="252"/>
      <c r="J397" s="252"/>
    </row>
    <row r="398" spans="1:10" ht="17.75" customHeight="1">
      <c r="A398" s="244">
        <v>46078</v>
      </c>
      <c r="B398" s="245" t="s">
        <v>450</v>
      </c>
      <c r="C398" s="263" t="s">
        <v>732</v>
      </c>
      <c r="D398" s="271"/>
      <c r="E398" s="382">
        <v>16420</v>
      </c>
      <c r="F398" s="257">
        <v>0</v>
      </c>
      <c r="G398" s="250">
        <f t="shared" si="3"/>
        <v>620549.71000000043</v>
      </c>
      <c r="H398" s="269"/>
      <c r="I398" s="252"/>
      <c r="J398" s="252"/>
    </row>
    <row r="399" spans="1:10" ht="17.75" customHeight="1">
      <c r="A399" s="244"/>
      <c r="B399" s="245"/>
      <c r="C399" s="263"/>
      <c r="D399" s="271"/>
      <c r="E399" s="382"/>
      <c r="F399" s="257">
        <v>0</v>
      </c>
      <c r="G399" s="250">
        <f t="shared" si="3"/>
        <v>620549.71000000043</v>
      </c>
      <c r="H399" s="269"/>
      <c r="I399" s="252"/>
      <c r="J399" s="252"/>
    </row>
    <row r="400" spans="1:10" ht="17.75" customHeight="1">
      <c r="A400" s="272"/>
      <c r="B400" s="245"/>
      <c r="C400" s="306"/>
      <c r="D400" s="271"/>
      <c r="E400" s="382"/>
      <c r="F400" s="257">
        <v>0</v>
      </c>
      <c r="G400" s="250">
        <f t="shared" si="3"/>
        <v>620549.71000000043</v>
      </c>
      <c r="H400" s="284"/>
      <c r="I400" s="252"/>
      <c r="J400" s="252"/>
    </row>
    <row r="401" spans="1:10" ht="17.75" customHeight="1">
      <c r="A401" s="272"/>
      <c r="B401" s="245"/>
      <c r="C401" s="306"/>
      <c r="D401" s="271"/>
      <c r="E401" s="382"/>
      <c r="F401" s="257">
        <v>0</v>
      </c>
      <c r="G401" s="250">
        <f t="shared" si="3"/>
        <v>620549.71000000043</v>
      </c>
      <c r="H401" s="284"/>
      <c r="I401" s="252"/>
      <c r="J401" s="252"/>
    </row>
    <row r="402" spans="1:10" ht="17.75" customHeight="1">
      <c r="A402" s="272"/>
      <c r="B402" s="245"/>
      <c r="C402" s="306"/>
      <c r="D402" s="271"/>
      <c r="E402" s="382"/>
      <c r="F402" s="257">
        <v>0</v>
      </c>
      <c r="G402" s="250">
        <f t="shared" ref="G402:G403" si="4">G401+F402-D402</f>
        <v>620549.71000000043</v>
      </c>
      <c r="H402" s="284"/>
      <c r="I402" s="252"/>
      <c r="J402" s="252"/>
    </row>
    <row r="403" spans="1:10" ht="17.75" customHeight="1">
      <c r="A403" s="272"/>
      <c r="B403" s="245"/>
      <c r="C403" s="288"/>
      <c r="D403" s="328"/>
      <c r="E403" s="382"/>
      <c r="F403" s="257">
        <v>0</v>
      </c>
      <c r="G403" s="250">
        <f t="shared" si="4"/>
        <v>620549.71000000043</v>
      </c>
      <c r="H403" s="275"/>
      <c r="I403" s="252"/>
      <c r="J403" s="252"/>
    </row>
    <row r="404" spans="1:10" ht="17.75" customHeight="1">
      <c r="A404" s="314"/>
      <c r="B404" s="286"/>
      <c r="C404" s="314"/>
      <c r="D404" s="326" t="s">
        <v>372</v>
      </c>
      <c r="E404" s="378" t="s">
        <v>373</v>
      </c>
      <c r="F404" s="314"/>
      <c r="G404" s="286" t="s">
        <v>226</v>
      </c>
      <c r="H404" s="314"/>
      <c r="I404" s="252"/>
      <c r="J404" s="252"/>
    </row>
    <row r="405" spans="1:10" ht="17.75" customHeight="1">
      <c r="A405" s="315"/>
      <c r="B405" s="316"/>
      <c r="C405" s="323"/>
      <c r="D405" s="331">
        <f>SUM(D333:D404)</f>
        <v>11137143.699999999</v>
      </c>
      <c r="E405" s="379">
        <f>SUM(E333:E404)</f>
        <v>15988433.709999999</v>
      </c>
      <c r="F405" s="332">
        <f>SUM(F272:F404)</f>
        <v>21726986.41</v>
      </c>
      <c r="G405" s="337">
        <f>D409-E409</f>
        <v>1546000</v>
      </c>
      <c r="H405" s="323"/>
      <c r="I405" s="252"/>
      <c r="J405" s="252"/>
    </row>
    <row r="406" spans="1:10">
      <c r="A406" s="312"/>
      <c r="B406" s="316"/>
      <c r="C406" s="317"/>
      <c r="D406" s="325"/>
      <c r="E406" s="390"/>
      <c r="F406" s="329"/>
      <c r="G406" s="337"/>
      <c r="H406" s="317"/>
      <c r="I406" s="252"/>
      <c r="J406" s="252"/>
    </row>
    <row r="407" spans="1:10" ht="26.25" customHeight="1">
      <c r="A407" s="287"/>
      <c r="C407" s="252"/>
      <c r="D407" s="243"/>
      <c r="E407" s="391"/>
      <c r="F407" s="243"/>
      <c r="G407" s="243"/>
      <c r="H407" s="252"/>
      <c r="I407" s="252"/>
      <c r="J407" s="252"/>
    </row>
    <row r="408" spans="1:10" ht="22.5" customHeight="1">
      <c r="A408" s="183" t="s">
        <v>24</v>
      </c>
      <c r="B408" s="426" t="s">
        <v>363</v>
      </c>
      <c r="C408" s="184" t="s">
        <v>364</v>
      </c>
      <c r="D408" s="185" t="s">
        <v>365</v>
      </c>
      <c r="E408" s="376" t="s">
        <v>366</v>
      </c>
      <c r="F408" s="185" t="s">
        <v>398</v>
      </c>
      <c r="G408" s="185" t="s">
        <v>367</v>
      </c>
      <c r="H408" s="186" t="s">
        <v>368</v>
      </c>
    </row>
    <row r="409" spans="1:10">
      <c r="A409" s="188">
        <v>46027</v>
      </c>
      <c r="B409" s="427" t="s">
        <v>369</v>
      </c>
      <c r="C409" s="216" t="s">
        <v>515</v>
      </c>
      <c r="D409" s="190">
        <v>1546000</v>
      </c>
      <c r="E409" s="392"/>
      <c r="F409" s="201"/>
      <c r="G409" s="200" t="e">
        <f>SUMIFS($D:$D,#REF!,"&lt;="&amp;#REF!)-SUMIFS($E:$E,#REF!,"&lt;="&amp;#REF!)</f>
        <v>#REF!</v>
      </c>
      <c r="H409" s="192"/>
    </row>
    <row r="410" spans="1:10">
      <c r="A410" s="188">
        <v>46027</v>
      </c>
      <c r="B410" s="427" t="s">
        <v>384</v>
      </c>
      <c r="C410" s="189" t="s">
        <v>516</v>
      </c>
      <c r="D410" s="190"/>
      <c r="E410" s="392">
        <v>83000</v>
      </c>
      <c r="F410" s="201">
        <v>83000</v>
      </c>
      <c r="G410" s="200" t="e">
        <f>SUMIFS($D:$D,#REF!,"&lt;="&amp;#REF!)-SUMIFS($E:$E,#REF!,"&lt;="&amp;#REF!)</f>
        <v>#REF!</v>
      </c>
      <c r="H410" s="192"/>
    </row>
    <row r="411" spans="1:10">
      <c r="A411" s="188">
        <v>46027</v>
      </c>
      <c r="B411" s="428" t="s">
        <v>528</v>
      </c>
      <c r="C411" s="216" t="s">
        <v>529</v>
      </c>
      <c r="D411" s="212">
        <v>2000000</v>
      </c>
      <c r="E411" s="392"/>
      <c r="F411" s="213"/>
      <c r="G411" s="200" t="e">
        <f>SUMIFS($D:$D,#REF!,"&lt;="&amp;#REF!)-SUMIFS($E:$E,#REF!,"&lt;="&amp;#REF!)</f>
        <v>#REF!</v>
      </c>
      <c r="H411" s="192"/>
    </row>
    <row r="412" spans="1:10">
      <c r="A412" s="188">
        <v>46028</v>
      </c>
      <c r="B412" s="428" t="s">
        <v>254</v>
      </c>
      <c r="C412" s="189" t="s">
        <v>517</v>
      </c>
      <c r="D412" s="212"/>
      <c r="E412" s="392">
        <v>71000</v>
      </c>
      <c r="F412" s="201">
        <v>71000</v>
      </c>
      <c r="G412" s="200" t="e">
        <f>SUMIFS($D:$D,#REF!,"&lt;="&amp;#REF!)-SUMIFS($E:$E,#REF!,"&lt;="&amp;#REF!)</f>
        <v>#REF!</v>
      </c>
      <c r="H412" s="192"/>
    </row>
    <row r="413" spans="1:10">
      <c r="A413" s="188">
        <v>46028</v>
      </c>
      <c r="B413" s="428" t="s">
        <v>450</v>
      </c>
      <c r="C413" s="189" t="s">
        <v>536</v>
      </c>
      <c r="D413" s="212"/>
      <c r="E413" s="392">
        <v>10987.7</v>
      </c>
      <c r="F413" s="201">
        <v>10987.74</v>
      </c>
      <c r="G413" s="200" t="e">
        <f>SUMIFS($D:$D,#REF!,"&lt;="&amp;#REF!)-SUMIFS($E:$E,#REF!,"&lt;="&amp;#REF!)</f>
        <v>#REF!</v>
      </c>
      <c r="H413" s="192"/>
    </row>
    <row r="414" spans="1:10">
      <c r="A414" s="188">
        <v>46029</v>
      </c>
      <c r="B414" s="428" t="s">
        <v>524</v>
      </c>
      <c r="C414" s="216" t="s">
        <v>527</v>
      </c>
      <c r="D414" s="212">
        <v>3000000</v>
      </c>
      <c r="E414" s="392"/>
      <c r="F414" s="192"/>
      <c r="G414" s="200" t="e">
        <f>SUMIFS($D:$D,#REF!,"&lt;="&amp;#REF!)-SUMIFS($E:$E,#REF!,"&lt;="&amp;#REF!)</f>
        <v>#REF!</v>
      </c>
      <c r="H414" s="192"/>
    </row>
    <row r="415" spans="1:10">
      <c r="A415" s="188">
        <v>46029</v>
      </c>
      <c r="B415" s="428" t="s">
        <v>450</v>
      </c>
      <c r="C415" s="189" t="s">
        <v>537</v>
      </c>
      <c r="D415" s="212"/>
      <c r="E415" s="392">
        <v>25110.5</v>
      </c>
      <c r="F415" s="191">
        <v>25110.5</v>
      </c>
      <c r="G415" s="200" t="e">
        <f>SUMIFS($D:$D,#REF!,"&lt;="&amp;#REF!)-SUMIFS($E:$E,#REF!,"&lt;="&amp;#REF!)</f>
        <v>#REF!</v>
      </c>
      <c r="H415" s="192"/>
    </row>
    <row r="416" spans="1:10">
      <c r="A416" s="188">
        <v>46030</v>
      </c>
      <c r="B416" s="428" t="s">
        <v>254</v>
      </c>
      <c r="C416" s="189" t="s">
        <v>533</v>
      </c>
      <c r="D416" s="212"/>
      <c r="E416" s="392">
        <v>245000</v>
      </c>
      <c r="F416" s="191">
        <v>245000</v>
      </c>
      <c r="G416" s="200" t="e">
        <f>SUMIFS($D:$D,#REF!,"&lt;="&amp;#REF!)-SUMIFS($E:$E,#REF!,"&lt;="&amp;#REF!)</f>
        <v>#REF!</v>
      </c>
      <c r="H416" s="192"/>
    </row>
    <row r="417" spans="1:8">
      <c r="A417" s="188">
        <v>46030</v>
      </c>
      <c r="B417" s="429" t="s">
        <v>450</v>
      </c>
      <c r="C417" s="189" t="s">
        <v>541</v>
      </c>
      <c r="D417" s="212"/>
      <c r="E417" s="392">
        <v>1824.07</v>
      </c>
      <c r="F417" s="201">
        <v>1824.07</v>
      </c>
      <c r="G417" s="200" t="e">
        <f>SUMIFS($D:$D,#REF!,"&lt;="&amp;#REF!)-SUMIFS($E:$E,#REF!,"&lt;="&amp;#REF!)</f>
        <v>#REF!</v>
      </c>
      <c r="H417" s="192"/>
    </row>
    <row r="418" spans="1:8">
      <c r="A418" s="188">
        <v>46030</v>
      </c>
      <c r="B418" s="428" t="s">
        <v>528</v>
      </c>
      <c r="C418" s="189" t="s">
        <v>375</v>
      </c>
      <c r="D418" s="212">
        <v>2845701</v>
      </c>
      <c r="E418" s="392"/>
      <c r="F418" s="213"/>
      <c r="G418" s="200" t="e">
        <f>SUMIFS($D:$D,#REF!,"&lt;="&amp;#REF!)-SUMIFS($E:$E,#REF!,"&lt;="&amp;#REF!)</f>
        <v>#REF!</v>
      </c>
      <c r="H418" s="192"/>
    </row>
    <row r="419" spans="1:8">
      <c r="A419" s="188">
        <v>46030</v>
      </c>
      <c r="B419" s="428" t="s">
        <v>320</v>
      </c>
      <c r="C419" s="189" t="s">
        <v>542</v>
      </c>
      <c r="D419" s="212"/>
      <c r="E419" s="392">
        <v>15000</v>
      </c>
      <c r="F419" s="192">
        <v>15000</v>
      </c>
      <c r="G419" s="200" t="e">
        <f>SUMIFS($D:$D,#REF!,"&lt;="&amp;#REF!)-SUMIFS($E:$E,#REF!,"&lt;="&amp;#REF!)</f>
        <v>#REF!</v>
      </c>
      <c r="H419" s="192"/>
    </row>
    <row r="420" spans="1:8">
      <c r="A420" s="188">
        <v>46031</v>
      </c>
      <c r="B420" s="428" t="s">
        <v>450</v>
      </c>
      <c r="C420" s="189" t="s">
        <v>535</v>
      </c>
      <c r="D420" s="212"/>
      <c r="E420" s="392">
        <v>520000</v>
      </c>
      <c r="F420" s="201">
        <v>520000</v>
      </c>
      <c r="G420" s="200" t="e">
        <f>SUMIFS($D:$D,#REF!,"&lt;="&amp;#REF!)-SUMIFS($E:$E,#REF!,"&lt;="&amp;#REF!)</f>
        <v>#REF!</v>
      </c>
      <c r="H420" s="192" t="s">
        <v>550</v>
      </c>
    </row>
    <row r="421" spans="1:8">
      <c r="A421" s="188">
        <v>46031</v>
      </c>
      <c r="B421" s="428" t="s">
        <v>450</v>
      </c>
      <c r="C421" s="189" t="s">
        <v>539</v>
      </c>
      <c r="D421" s="212"/>
      <c r="E421" s="392">
        <v>13175</v>
      </c>
      <c r="F421" s="191">
        <v>13175</v>
      </c>
      <c r="G421" s="200" t="e">
        <f>SUMIFS($D:$D,#REF!,"&lt;="&amp;#REF!)-SUMIFS($E:$E,#REF!,"&lt;="&amp;#REF!)</f>
        <v>#REF!</v>
      </c>
      <c r="H421" s="192"/>
    </row>
    <row r="422" spans="1:8">
      <c r="A422" s="188">
        <v>46031</v>
      </c>
      <c r="B422" s="428" t="s">
        <v>450</v>
      </c>
      <c r="C422" s="189" t="s">
        <v>540</v>
      </c>
      <c r="D422" s="212"/>
      <c r="E422" s="392">
        <v>29400</v>
      </c>
      <c r="F422" s="201">
        <v>29400</v>
      </c>
      <c r="G422" s="200" t="e">
        <f>SUMIFS($D:$D,#REF!,"&lt;="&amp;#REF!)-SUMIFS($E:$E,#REF!,"&lt;="&amp;#REF!)</f>
        <v>#REF!</v>
      </c>
      <c r="H422" s="192"/>
    </row>
    <row r="423" spans="1:8">
      <c r="A423" s="188">
        <v>46031</v>
      </c>
      <c r="B423" s="428" t="s">
        <v>450</v>
      </c>
      <c r="C423" s="189" t="s">
        <v>543</v>
      </c>
      <c r="D423" s="212"/>
      <c r="E423" s="393">
        <v>10348</v>
      </c>
      <c r="F423" s="201">
        <v>10348</v>
      </c>
      <c r="G423" s="200" t="e">
        <f>SUMIFS($D:$D,#REF!,"&lt;="&amp;#REF!)-SUMIFS($E:$E,#REF!,"&lt;="&amp;#REF!)</f>
        <v>#REF!</v>
      </c>
      <c r="H423" s="192"/>
    </row>
    <row r="424" spans="1:8">
      <c r="A424" s="188">
        <v>46031</v>
      </c>
      <c r="B424" s="428" t="s">
        <v>450</v>
      </c>
      <c r="C424" s="189" t="s">
        <v>546</v>
      </c>
      <c r="D424" s="212"/>
      <c r="E424" s="392">
        <v>1324</v>
      </c>
      <c r="F424" s="201" t="s">
        <v>464</v>
      </c>
      <c r="G424" s="200" t="e">
        <f>SUMIFS($D:$D,#REF!,"&lt;="&amp;#REF!)-SUMIFS($E:$E,#REF!,"&lt;="&amp;#REF!)</f>
        <v>#REF!</v>
      </c>
      <c r="H424" s="192"/>
    </row>
    <row r="425" spans="1:8">
      <c r="A425" s="188">
        <v>46031</v>
      </c>
      <c r="B425" s="428" t="s">
        <v>450</v>
      </c>
      <c r="C425" s="189" t="s">
        <v>545</v>
      </c>
      <c r="D425" s="212"/>
      <c r="E425" s="392">
        <v>7200</v>
      </c>
      <c r="F425" s="192">
        <v>7200</v>
      </c>
      <c r="G425" s="200" t="e">
        <f>SUMIFS($D:$D,#REF!,"&lt;="&amp;#REF!)-SUMIFS($E:$E,#REF!,"&lt;="&amp;#REF!)</f>
        <v>#REF!</v>
      </c>
      <c r="H425" s="192"/>
    </row>
    <row r="426" spans="1:8">
      <c r="A426" s="188">
        <v>46031</v>
      </c>
      <c r="B426" s="428" t="s">
        <v>450</v>
      </c>
      <c r="C426" s="189" t="s">
        <v>548</v>
      </c>
      <c r="D426" s="212"/>
      <c r="E426" s="392">
        <v>67349.850000000006</v>
      </c>
      <c r="F426" s="191">
        <v>67349.850000000006</v>
      </c>
      <c r="G426" s="200" t="e">
        <f>SUMIFS($D:$D,#REF!,"&lt;="&amp;#REF!)-SUMIFS($E:$E,#REF!,"&lt;="&amp;#REF!)</f>
        <v>#REF!</v>
      </c>
      <c r="H426" s="192"/>
    </row>
    <row r="427" spans="1:8">
      <c r="A427" s="188">
        <v>46031</v>
      </c>
      <c r="B427" s="428" t="s">
        <v>450</v>
      </c>
      <c r="C427" s="189" t="s">
        <v>547</v>
      </c>
      <c r="D427" s="212"/>
      <c r="E427" s="392">
        <v>4156.8</v>
      </c>
      <c r="F427" s="192"/>
      <c r="G427" s="200" t="e">
        <f>SUMIFS($D:$D,#REF!,"&lt;="&amp;#REF!)-SUMIFS($E:$E,#REF!,"&lt;="&amp;#REF!)</f>
        <v>#REF!</v>
      </c>
      <c r="H427" s="192"/>
    </row>
    <row r="428" spans="1:8">
      <c r="A428" s="188">
        <v>46031</v>
      </c>
      <c r="B428" s="428" t="s">
        <v>450</v>
      </c>
      <c r="C428" s="189" t="s">
        <v>549</v>
      </c>
      <c r="D428" s="212"/>
      <c r="E428" s="392">
        <v>300000</v>
      </c>
      <c r="F428" s="213">
        <v>300000</v>
      </c>
      <c r="G428" s="200" t="e">
        <f>SUMIFS($D:$D,#REF!,"&lt;="&amp;#REF!)-SUMIFS($E:$E,#REF!,"&lt;="&amp;#REF!)</f>
        <v>#REF!</v>
      </c>
      <c r="H428" s="192"/>
    </row>
    <row r="429" spans="1:8">
      <c r="A429" s="188">
        <v>46031</v>
      </c>
      <c r="B429" s="428" t="s">
        <v>450</v>
      </c>
      <c r="C429" s="189" t="s">
        <v>498</v>
      </c>
      <c r="D429" s="212"/>
      <c r="E429" s="392">
        <v>105000</v>
      </c>
      <c r="F429" s="192">
        <v>105000</v>
      </c>
      <c r="G429" s="200" t="e">
        <f>SUMIFS($D:$D,#REF!,"&lt;="&amp;#REF!)-SUMIFS($E:$E,#REF!,"&lt;="&amp;#REF!)</f>
        <v>#REF!</v>
      </c>
      <c r="H429" s="192"/>
    </row>
    <row r="430" spans="1:8">
      <c r="A430" s="188">
        <v>46031</v>
      </c>
      <c r="B430" s="428" t="s">
        <v>450</v>
      </c>
      <c r="C430" s="189" t="s">
        <v>551</v>
      </c>
      <c r="D430" s="212"/>
      <c r="E430" s="392">
        <v>72873.11</v>
      </c>
      <c r="F430" s="192">
        <v>72873.11</v>
      </c>
      <c r="G430" s="200" t="e">
        <f>SUMIFS($D:$D,#REF!,"&lt;="&amp;#REF!)-SUMIFS($E:$E,#REF!,"&lt;="&amp;#REF!)</f>
        <v>#REF!</v>
      </c>
      <c r="H430" s="192"/>
    </row>
    <row r="431" spans="1:8">
      <c r="A431" s="217">
        <v>46031</v>
      </c>
      <c r="B431" s="428" t="s">
        <v>450</v>
      </c>
      <c r="C431" s="189" t="s">
        <v>552</v>
      </c>
      <c r="D431" s="212"/>
      <c r="E431" s="392">
        <v>23732</v>
      </c>
      <c r="F431" s="191">
        <v>23732</v>
      </c>
      <c r="G431" s="200" t="e">
        <f>SUMIFS($D:$D,#REF!,"&lt;="&amp;#REF!)-SUMIFS($E:$E,#REF!,"&lt;="&amp;#REF!)</f>
        <v>#REF!</v>
      </c>
      <c r="H431" s="192"/>
    </row>
    <row r="432" spans="1:8">
      <c r="A432" s="188">
        <v>46031</v>
      </c>
      <c r="B432" s="316" t="s">
        <v>450</v>
      </c>
      <c r="C432" s="189" t="s">
        <v>544</v>
      </c>
      <c r="D432" s="212"/>
      <c r="E432" s="392">
        <v>12000</v>
      </c>
      <c r="F432" s="192">
        <v>12000</v>
      </c>
      <c r="G432" s="200" t="e">
        <f>SUMIFS($D:$D,#REF!,"&lt;="&amp;#REF!)-SUMIFS($E:$E,#REF!,"&lt;="&amp;#REF!)</f>
        <v>#REF!</v>
      </c>
      <c r="H432" s="192"/>
    </row>
    <row r="433" spans="1:8">
      <c r="A433" s="188">
        <v>46032</v>
      </c>
      <c r="B433" s="428" t="s">
        <v>522</v>
      </c>
      <c r="C433" s="189" t="s">
        <v>523</v>
      </c>
      <c r="D433" s="212"/>
      <c r="E433" s="392">
        <v>5135000</v>
      </c>
      <c r="F433" s="192">
        <v>5135000</v>
      </c>
      <c r="G433" s="200" t="e">
        <f>SUMIFS($D:$D,#REF!,"&lt;="&amp;#REF!)-SUMIFS($E:$E,#REF!,"&lt;="&amp;#REF!)</f>
        <v>#REF!</v>
      </c>
      <c r="H433" s="192"/>
    </row>
    <row r="434" spans="1:8">
      <c r="A434" s="188">
        <v>46032</v>
      </c>
      <c r="B434" s="428" t="s">
        <v>450</v>
      </c>
      <c r="C434" s="189" t="s">
        <v>554</v>
      </c>
      <c r="D434" s="212"/>
      <c r="E434" s="392">
        <v>10000</v>
      </c>
      <c r="F434" s="191">
        <v>10000</v>
      </c>
      <c r="G434" s="200" t="e">
        <f>SUMIFS($D:$D,#REF!,"&lt;="&amp;#REF!)-SUMIFS($E:$E,#REF!,"&lt;="&amp;#REF!)</f>
        <v>#REF!</v>
      </c>
      <c r="H434" s="192"/>
    </row>
    <row r="435" spans="1:8">
      <c r="A435" s="188">
        <v>46033</v>
      </c>
      <c r="B435" s="428" t="s">
        <v>518</v>
      </c>
      <c r="C435" s="189" t="s">
        <v>530</v>
      </c>
      <c r="D435" s="212"/>
      <c r="E435" s="392">
        <v>392000</v>
      </c>
      <c r="F435" s="192">
        <v>392000</v>
      </c>
      <c r="G435" s="200" t="e">
        <f>SUMIFS($D:$D,#REF!,"&lt;="&amp;#REF!)-SUMIFS($E:$E,#REF!,"&lt;="&amp;#REF!)</f>
        <v>#REF!</v>
      </c>
      <c r="H435" s="192" t="s">
        <v>519</v>
      </c>
    </row>
    <row r="436" spans="1:8">
      <c r="A436" s="188">
        <v>46033</v>
      </c>
      <c r="B436" s="428" t="s">
        <v>518</v>
      </c>
      <c r="C436" s="189" t="s">
        <v>531</v>
      </c>
      <c r="D436" s="212"/>
      <c r="E436" s="392">
        <v>246000</v>
      </c>
      <c r="F436" s="192">
        <v>246000</v>
      </c>
      <c r="G436" s="200" t="e">
        <f>SUMIFS($D:$D,#REF!,"&lt;="&amp;#REF!)-SUMIFS($E:$E,#REF!,"&lt;="&amp;#REF!)</f>
        <v>#REF!</v>
      </c>
      <c r="H436" s="192" t="s">
        <v>532</v>
      </c>
    </row>
    <row r="437" spans="1:8">
      <c r="A437" s="188">
        <v>46033</v>
      </c>
      <c r="B437" s="428" t="s">
        <v>444</v>
      </c>
      <c r="C437" s="189" t="s">
        <v>553</v>
      </c>
      <c r="D437" s="212"/>
      <c r="E437" s="392">
        <v>161000</v>
      </c>
      <c r="F437" s="192">
        <v>161000</v>
      </c>
      <c r="G437" s="200" t="e">
        <f>SUMIFS($D:$D,#REF!,"&lt;="&amp;#REF!)-SUMIFS($E:$E,#REF!,"&lt;="&amp;#REF!)</f>
        <v>#REF!</v>
      </c>
      <c r="H437" s="192"/>
    </row>
    <row r="438" spans="1:8">
      <c r="A438" s="188">
        <v>46034</v>
      </c>
      <c r="B438" s="428" t="s">
        <v>525</v>
      </c>
      <c r="C438" s="189" t="s">
        <v>534</v>
      </c>
      <c r="D438" s="212"/>
      <c r="E438" s="392">
        <v>6978.6</v>
      </c>
      <c r="F438" s="192">
        <v>6978.6</v>
      </c>
      <c r="G438" s="200" t="e">
        <f>SUMIFS($D:$D,#REF!,"&lt;="&amp;#REF!)-SUMIFS($E:$E,#REF!,"&lt;="&amp;#REF!)</f>
        <v>#REF!</v>
      </c>
      <c r="H438" s="192"/>
    </row>
    <row r="439" spans="1:8">
      <c r="A439" s="188">
        <v>46035</v>
      </c>
      <c r="B439" s="428" t="s">
        <v>384</v>
      </c>
      <c r="C439" s="189" t="s">
        <v>526</v>
      </c>
      <c r="D439" s="212"/>
      <c r="E439" s="392">
        <v>267000</v>
      </c>
      <c r="F439" s="191">
        <v>267000</v>
      </c>
      <c r="G439" s="200" t="e">
        <f>SUMIFS($D:$D,#REF!,"&lt;="&amp;#REF!)-SUMIFS($E:$E,#REF!,"&lt;="&amp;#REF!)</f>
        <v>#REF!</v>
      </c>
      <c r="H439" s="192"/>
    </row>
    <row r="440" spans="1:8">
      <c r="A440" s="218">
        <v>46035</v>
      </c>
      <c r="B440" s="428" t="s">
        <v>254</v>
      </c>
      <c r="C440" s="189" t="s">
        <v>520</v>
      </c>
      <c r="D440" s="212"/>
      <c r="E440" s="392">
        <v>117000</v>
      </c>
      <c r="F440" s="192">
        <v>117000</v>
      </c>
      <c r="G440" s="200" t="e">
        <f>SUMIFS($D:$D,#REF!,"&lt;="&amp;#REF!)-SUMIFS($E:$E,#REF!,"&lt;="&amp;#REF!)</f>
        <v>#REF!</v>
      </c>
      <c r="H440" s="192"/>
    </row>
    <row r="441" spans="1:8">
      <c r="A441" s="218">
        <v>46037</v>
      </c>
      <c r="B441" s="428" t="s">
        <v>444</v>
      </c>
      <c r="C441" s="189" t="s">
        <v>521</v>
      </c>
      <c r="D441" s="212"/>
      <c r="E441" s="392"/>
      <c r="F441" s="192"/>
      <c r="G441" s="200" t="e">
        <f>SUMIFS($D:$D,#REF!,"&lt;="&amp;#REF!)-SUMIFS($E:$E,#REF!,"&lt;="&amp;#REF!)</f>
        <v>#REF!</v>
      </c>
      <c r="H441" s="192"/>
    </row>
    <row r="442" spans="1:8">
      <c r="A442" s="188">
        <v>46035</v>
      </c>
      <c r="B442" s="428" t="s">
        <v>522</v>
      </c>
      <c r="C442" s="189" t="s">
        <v>581</v>
      </c>
      <c r="D442" s="212"/>
      <c r="E442" s="392">
        <v>32500</v>
      </c>
      <c r="F442" s="191">
        <v>32500</v>
      </c>
      <c r="G442" s="200" t="e">
        <f>SUMIFS($D:$D,#REF!,"&lt;="&amp;#REF!)-SUMIFS($E:$E,#REF!,"&lt;="&amp;#REF!)</f>
        <v>#REF!</v>
      </c>
      <c r="H442" s="192"/>
    </row>
    <row r="443" spans="1:8">
      <c r="A443" s="188">
        <v>46035</v>
      </c>
      <c r="B443" s="428" t="s">
        <v>555</v>
      </c>
      <c r="C443" s="189" t="s">
        <v>556</v>
      </c>
      <c r="D443" s="212"/>
      <c r="E443" s="392">
        <v>375000</v>
      </c>
      <c r="F443" s="191">
        <v>375000</v>
      </c>
      <c r="G443" s="200" t="e">
        <f>SUMIFS($D:$D,#REF!,"&lt;="&amp;#REF!)-SUMIFS($E:$E,#REF!,"&lt;="&amp;#REF!)</f>
        <v>#REF!</v>
      </c>
      <c r="H443" s="192"/>
    </row>
    <row r="444" spans="1:8">
      <c r="A444" s="188">
        <v>46035</v>
      </c>
      <c r="B444" s="428" t="s">
        <v>450</v>
      </c>
      <c r="C444" s="189" t="s">
        <v>557</v>
      </c>
      <c r="D444" s="212"/>
      <c r="E444" s="392">
        <v>41821</v>
      </c>
      <c r="F444" s="191">
        <v>41821</v>
      </c>
      <c r="G444" s="200" t="e">
        <f>SUMIFS($D:$D,#REF!,"&lt;="&amp;#REF!)-SUMIFS($E:$E,#REF!,"&lt;="&amp;#REF!)</f>
        <v>#REF!</v>
      </c>
      <c r="H444" s="192"/>
    </row>
    <row r="445" spans="1:8">
      <c r="A445" s="188">
        <v>46035</v>
      </c>
      <c r="B445" s="428" t="s">
        <v>558</v>
      </c>
      <c r="C445" s="189" t="s">
        <v>559</v>
      </c>
      <c r="D445" s="212"/>
      <c r="E445" s="392">
        <v>25000</v>
      </c>
      <c r="F445" s="191">
        <v>25000</v>
      </c>
      <c r="G445" s="200" t="e">
        <f>SUMIFS($D:$D,#REF!,"&lt;="&amp;#REF!)-SUMIFS($E:$E,#REF!,"&lt;="&amp;#REF!)</f>
        <v>#REF!</v>
      </c>
      <c r="H445" s="192"/>
    </row>
    <row r="446" spans="1:8" ht="13.5" customHeight="1">
      <c r="A446" s="193"/>
      <c r="B446" s="430"/>
      <c r="C446" s="194"/>
      <c r="D446" s="195" t="s">
        <v>372</v>
      </c>
      <c r="E446" s="394" t="s">
        <v>373</v>
      </c>
      <c r="F446" s="202"/>
      <c r="G446" s="195" t="s">
        <v>226</v>
      </c>
      <c r="H446" s="196"/>
    </row>
    <row r="447" spans="1:8" ht="26.25" customHeight="1">
      <c r="A447" s="197"/>
      <c r="D447" s="198">
        <f>SUM(D409:D446)</f>
        <v>9391701</v>
      </c>
      <c r="E447" s="391">
        <f>SUM(E409:E446)</f>
        <v>8427780.629999999</v>
      </c>
      <c r="F447" s="198">
        <f>SUM(F409:F445)</f>
        <v>8422299.870000001</v>
      </c>
      <c r="G447" s="198">
        <f>D447-E447</f>
        <v>963920.37000000104</v>
      </c>
    </row>
    <row r="448" spans="1:8" ht="22.5" customHeight="1">
      <c r="A448" s="183" t="s">
        <v>24</v>
      </c>
      <c r="B448" s="426" t="s">
        <v>363</v>
      </c>
      <c r="C448" s="184" t="s">
        <v>364</v>
      </c>
      <c r="D448" s="185" t="s">
        <v>365</v>
      </c>
      <c r="E448" s="376" t="s">
        <v>366</v>
      </c>
      <c r="F448" s="185" t="s">
        <v>398</v>
      </c>
      <c r="G448" s="185" t="s">
        <v>367</v>
      </c>
      <c r="H448" s="186" t="s">
        <v>368</v>
      </c>
    </row>
    <row r="449" spans="1:8">
      <c r="A449" s="188">
        <v>46016</v>
      </c>
      <c r="B449" s="427" t="s">
        <v>369</v>
      </c>
      <c r="C449" s="189" t="s">
        <v>375</v>
      </c>
      <c r="D449" s="190">
        <v>6481000</v>
      </c>
      <c r="E449" s="392"/>
      <c r="F449" s="201"/>
      <c r="G449" s="200">
        <f>E449-D449</f>
        <v>-6481000</v>
      </c>
      <c r="H449" s="192"/>
    </row>
    <row r="450" spans="1:8">
      <c r="A450" s="188">
        <v>46016</v>
      </c>
      <c r="B450" s="427" t="s">
        <v>384</v>
      </c>
      <c r="C450" s="189" t="s">
        <v>488</v>
      </c>
      <c r="D450" s="190"/>
      <c r="E450" s="392">
        <v>785000</v>
      </c>
      <c r="F450" s="201">
        <v>785000</v>
      </c>
      <c r="G450" s="200">
        <f t="shared" ref="G450:G485" si="5">G449+E450-D450</f>
        <v>-5696000</v>
      </c>
      <c r="H450" s="192"/>
    </row>
    <row r="451" spans="1:8">
      <c r="A451" s="188">
        <v>46016</v>
      </c>
      <c r="B451" s="428" t="s">
        <v>300</v>
      </c>
      <c r="C451" s="189" t="s">
        <v>479</v>
      </c>
      <c r="D451" s="212"/>
      <c r="E451" s="392">
        <v>13218</v>
      </c>
      <c r="F451" s="201">
        <v>13218</v>
      </c>
      <c r="G451" s="200">
        <f t="shared" si="5"/>
        <v>-5682782</v>
      </c>
      <c r="H451" s="192"/>
    </row>
    <row r="452" spans="1:8">
      <c r="A452" s="188">
        <v>46017</v>
      </c>
      <c r="B452" s="428" t="s">
        <v>300</v>
      </c>
      <c r="C452" s="189" t="s">
        <v>478</v>
      </c>
      <c r="D452" s="212"/>
      <c r="E452" s="392">
        <v>143000</v>
      </c>
      <c r="F452" s="201">
        <v>143000</v>
      </c>
      <c r="G452" s="200">
        <f t="shared" si="5"/>
        <v>-5539782</v>
      </c>
      <c r="H452" s="192"/>
    </row>
    <row r="453" spans="1:8">
      <c r="A453" s="188">
        <v>46017</v>
      </c>
      <c r="B453" s="428" t="s">
        <v>300</v>
      </c>
      <c r="C453" s="189" t="s">
        <v>485</v>
      </c>
      <c r="D453" s="212"/>
      <c r="E453" s="392">
        <v>36172.839999999997</v>
      </c>
      <c r="F453" s="213">
        <v>36172.800000000003</v>
      </c>
      <c r="G453" s="200">
        <f t="shared" si="5"/>
        <v>-5503609.1600000001</v>
      </c>
      <c r="H453" s="192"/>
    </row>
    <row r="454" spans="1:8">
      <c r="A454" s="188">
        <v>46017</v>
      </c>
      <c r="B454" s="428" t="s">
        <v>384</v>
      </c>
      <c r="C454" s="189" t="s">
        <v>487</v>
      </c>
      <c r="D454" s="212"/>
      <c r="E454" s="392">
        <v>560578.49</v>
      </c>
      <c r="F454" s="191">
        <v>560578.5</v>
      </c>
      <c r="G454" s="200">
        <f t="shared" si="5"/>
        <v>-4943030.67</v>
      </c>
      <c r="H454" s="192"/>
    </row>
    <row r="455" spans="1:8">
      <c r="A455" s="188">
        <v>46017</v>
      </c>
      <c r="B455" s="428" t="s">
        <v>450</v>
      </c>
      <c r="C455" s="189" t="s">
        <v>489</v>
      </c>
      <c r="D455" s="212"/>
      <c r="E455" s="392">
        <v>90000</v>
      </c>
      <c r="F455" s="192">
        <v>90000</v>
      </c>
      <c r="G455" s="200">
        <f t="shared" si="5"/>
        <v>-4853030.67</v>
      </c>
      <c r="H455" s="192"/>
    </row>
    <row r="456" spans="1:8">
      <c r="A456" s="188">
        <v>46017</v>
      </c>
      <c r="B456" s="428" t="s">
        <v>450</v>
      </c>
      <c r="C456" s="189" t="s">
        <v>500</v>
      </c>
      <c r="D456" s="212"/>
      <c r="E456" s="392">
        <v>38700.44</v>
      </c>
      <c r="F456" s="192">
        <v>38700.44</v>
      </c>
      <c r="G456" s="200">
        <f t="shared" si="5"/>
        <v>-4814330.2299999995</v>
      </c>
      <c r="H456" s="192"/>
    </row>
    <row r="457" spans="1:8">
      <c r="A457" s="188">
        <v>46017</v>
      </c>
      <c r="B457" s="429" t="s">
        <v>450</v>
      </c>
      <c r="C457" s="189" t="s">
        <v>501</v>
      </c>
      <c r="D457" s="212"/>
      <c r="E457" s="392">
        <v>38340</v>
      </c>
      <c r="F457" s="213">
        <v>38340</v>
      </c>
      <c r="G457" s="200">
        <f t="shared" si="5"/>
        <v>-4775990.2299999995</v>
      </c>
      <c r="H457" s="192"/>
    </row>
    <row r="458" spans="1:8">
      <c r="A458" s="188">
        <v>46017</v>
      </c>
      <c r="B458" s="428" t="s">
        <v>492</v>
      </c>
      <c r="C458" s="189" t="s">
        <v>453</v>
      </c>
      <c r="D458" s="212"/>
      <c r="E458" s="392">
        <v>196000</v>
      </c>
      <c r="F458" s="213">
        <v>196000</v>
      </c>
      <c r="G458" s="200">
        <f t="shared" si="5"/>
        <v>-4579990.2299999995</v>
      </c>
      <c r="H458" s="192"/>
    </row>
    <row r="459" spans="1:8">
      <c r="A459" s="188">
        <v>46017</v>
      </c>
      <c r="B459" s="428" t="s">
        <v>494</v>
      </c>
      <c r="C459" s="189" t="s">
        <v>493</v>
      </c>
      <c r="D459" s="212"/>
      <c r="E459" s="392">
        <v>42000</v>
      </c>
      <c r="F459" s="192">
        <v>42000</v>
      </c>
      <c r="G459" s="200">
        <f t="shared" si="5"/>
        <v>-4537990.2299999995</v>
      </c>
      <c r="H459" s="192"/>
    </row>
    <row r="460" spans="1:8">
      <c r="A460" s="188">
        <v>46017</v>
      </c>
      <c r="B460" s="428" t="s">
        <v>450</v>
      </c>
      <c r="C460" s="189" t="s">
        <v>457</v>
      </c>
      <c r="D460" s="212"/>
      <c r="E460" s="392">
        <v>51054.18</v>
      </c>
      <c r="F460" s="213">
        <v>51054.18</v>
      </c>
      <c r="G460" s="200">
        <f t="shared" si="5"/>
        <v>-4486936.05</v>
      </c>
      <c r="H460" s="192"/>
    </row>
    <row r="461" spans="1:8">
      <c r="A461" s="188">
        <v>46017</v>
      </c>
      <c r="B461" s="428" t="s">
        <v>450</v>
      </c>
      <c r="C461" s="189" t="s">
        <v>499</v>
      </c>
      <c r="D461" s="212"/>
      <c r="E461" s="392">
        <v>128520</v>
      </c>
      <c r="F461" s="192">
        <v>128520</v>
      </c>
      <c r="G461" s="200">
        <f t="shared" si="5"/>
        <v>-4358416.05</v>
      </c>
      <c r="H461" s="192"/>
    </row>
    <row r="462" spans="1:8">
      <c r="A462" s="188">
        <v>46017</v>
      </c>
      <c r="B462" s="428" t="s">
        <v>497</v>
      </c>
      <c r="C462" s="189" t="s">
        <v>498</v>
      </c>
      <c r="D462" s="212"/>
      <c r="E462" s="392">
        <v>215000</v>
      </c>
      <c r="F462" s="213">
        <v>215000</v>
      </c>
      <c r="G462" s="200">
        <f t="shared" si="5"/>
        <v>-4143416.05</v>
      </c>
      <c r="H462" s="192"/>
    </row>
    <row r="463" spans="1:8">
      <c r="A463" s="188">
        <v>46017</v>
      </c>
      <c r="B463" s="428" t="s">
        <v>450</v>
      </c>
      <c r="C463" s="189" t="s">
        <v>502</v>
      </c>
      <c r="D463" s="212"/>
      <c r="E463" s="393">
        <v>26524.799999999999</v>
      </c>
      <c r="F463" s="201">
        <v>26524.799999999999</v>
      </c>
      <c r="G463" s="200">
        <f t="shared" si="5"/>
        <v>-4116891.25</v>
      </c>
      <c r="H463" s="192"/>
    </row>
    <row r="464" spans="1:8">
      <c r="A464" s="188">
        <v>46017</v>
      </c>
      <c r="B464" s="428" t="s">
        <v>450</v>
      </c>
      <c r="C464" s="189" t="s">
        <v>503</v>
      </c>
      <c r="D464" s="212"/>
      <c r="E464" s="392">
        <v>20000</v>
      </c>
      <c r="F464" s="201">
        <v>20000</v>
      </c>
      <c r="G464" s="200">
        <f t="shared" si="5"/>
        <v>-4096891.25</v>
      </c>
      <c r="H464" s="192"/>
    </row>
    <row r="465" spans="1:8">
      <c r="A465" s="188">
        <v>46017</v>
      </c>
      <c r="B465" s="428" t="s">
        <v>450</v>
      </c>
      <c r="C465" s="189" t="s">
        <v>504</v>
      </c>
      <c r="D465" s="212"/>
      <c r="E465" s="392">
        <v>2223.08</v>
      </c>
      <c r="F465" s="191">
        <v>2223.1</v>
      </c>
      <c r="G465" s="200">
        <f t="shared" si="5"/>
        <v>-4094668.17</v>
      </c>
      <c r="H465" s="192"/>
    </row>
    <row r="466" spans="1:8">
      <c r="A466" s="188">
        <v>46017</v>
      </c>
      <c r="B466" s="428" t="s">
        <v>450</v>
      </c>
      <c r="C466" s="189" t="s">
        <v>505</v>
      </c>
      <c r="D466" s="212"/>
      <c r="E466" s="392">
        <v>4439</v>
      </c>
      <c r="F466" s="191">
        <v>4439</v>
      </c>
      <c r="G466" s="200">
        <f t="shared" si="5"/>
        <v>-4090229.17</v>
      </c>
      <c r="H466" s="192"/>
    </row>
    <row r="467" spans="1:8">
      <c r="A467" s="188">
        <v>46017</v>
      </c>
      <c r="B467" s="428" t="s">
        <v>450</v>
      </c>
      <c r="C467" s="189" t="s">
        <v>506</v>
      </c>
      <c r="D467" s="212"/>
      <c r="E467" s="392">
        <v>14400</v>
      </c>
      <c r="F467" s="191">
        <v>14400</v>
      </c>
      <c r="G467" s="200">
        <f t="shared" si="5"/>
        <v>-4075829.17</v>
      </c>
      <c r="H467" s="192"/>
    </row>
    <row r="468" spans="1:8">
      <c r="A468" s="188">
        <v>46017</v>
      </c>
      <c r="B468" s="428" t="s">
        <v>450</v>
      </c>
      <c r="C468" s="189" t="s">
        <v>507</v>
      </c>
      <c r="D468" s="212"/>
      <c r="E468" s="392">
        <v>3000</v>
      </c>
      <c r="F468" s="201">
        <v>3000</v>
      </c>
      <c r="G468" s="200">
        <f t="shared" si="5"/>
        <v>-4072829.17</v>
      </c>
      <c r="H468" s="192"/>
    </row>
    <row r="469" spans="1:8">
      <c r="A469" s="188">
        <v>46021</v>
      </c>
      <c r="B469" s="428" t="s">
        <v>444</v>
      </c>
      <c r="C469" s="189" t="s">
        <v>496</v>
      </c>
      <c r="D469" s="212"/>
      <c r="E469" s="392">
        <v>82000</v>
      </c>
      <c r="F469" s="192">
        <v>82000</v>
      </c>
      <c r="G469" s="200">
        <f t="shared" si="5"/>
        <v>-3990829.17</v>
      </c>
      <c r="H469" s="192"/>
    </row>
    <row r="470" spans="1:8">
      <c r="A470" s="188">
        <v>46022</v>
      </c>
      <c r="B470" s="428" t="s">
        <v>482</v>
      </c>
      <c r="C470" s="189" t="s">
        <v>480</v>
      </c>
      <c r="D470" s="212"/>
      <c r="E470" s="392">
        <v>80233.47</v>
      </c>
      <c r="F470" s="192">
        <v>80233.5</v>
      </c>
      <c r="G470" s="200">
        <f t="shared" si="5"/>
        <v>-3910595.6999999997</v>
      </c>
      <c r="H470" s="192"/>
    </row>
    <row r="471" spans="1:8">
      <c r="A471" s="188">
        <v>46022</v>
      </c>
      <c r="B471" s="428" t="s">
        <v>481</v>
      </c>
      <c r="C471" s="189" t="s">
        <v>480</v>
      </c>
      <c r="D471" s="212"/>
      <c r="E471" s="392">
        <v>449201.33</v>
      </c>
      <c r="F471" s="191">
        <v>449201.3</v>
      </c>
      <c r="G471" s="200">
        <f t="shared" si="5"/>
        <v>-3461394.3699999996</v>
      </c>
      <c r="H471" s="192"/>
    </row>
    <row r="472" spans="1:8">
      <c r="A472" s="188">
        <v>46022</v>
      </c>
      <c r="B472" s="428" t="s">
        <v>481</v>
      </c>
      <c r="C472" s="189" t="s">
        <v>480</v>
      </c>
      <c r="D472" s="212"/>
      <c r="E472" s="392">
        <v>14725.62</v>
      </c>
      <c r="F472" s="191">
        <v>14725.6</v>
      </c>
      <c r="G472" s="200">
        <f t="shared" si="5"/>
        <v>-3446668.7499999995</v>
      </c>
      <c r="H472" s="192"/>
    </row>
    <row r="473" spans="1:8">
      <c r="A473" s="188">
        <v>46022</v>
      </c>
      <c r="B473" s="428" t="s">
        <v>484</v>
      </c>
      <c r="C473" s="189" t="s">
        <v>483</v>
      </c>
      <c r="D473" s="212"/>
      <c r="E473" s="392">
        <v>9036</v>
      </c>
      <c r="F473" s="192">
        <v>9036</v>
      </c>
      <c r="G473" s="200">
        <f t="shared" si="5"/>
        <v>-3437632.7499999995</v>
      </c>
      <c r="H473" s="192"/>
    </row>
    <row r="474" spans="1:8">
      <c r="A474" s="188">
        <v>46022</v>
      </c>
      <c r="B474" s="316" t="s">
        <v>484</v>
      </c>
      <c r="C474" s="189" t="s">
        <v>477</v>
      </c>
      <c r="D474" s="212"/>
      <c r="E474" s="392">
        <v>9036</v>
      </c>
      <c r="F474" s="192">
        <v>9036</v>
      </c>
      <c r="G474" s="200">
        <f t="shared" si="5"/>
        <v>-3428596.7499999995</v>
      </c>
      <c r="H474" s="192"/>
    </row>
    <row r="475" spans="1:8">
      <c r="A475" s="188">
        <v>46022</v>
      </c>
      <c r="B475" s="428" t="s">
        <v>481</v>
      </c>
      <c r="C475" s="189" t="s">
        <v>486</v>
      </c>
      <c r="D475" s="212"/>
      <c r="E475" s="392">
        <v>25160.32</v>
      </c>
      <c r="F475" s="191">
        <v>25160.3</v>
      </c>
      <c r="G475" s="200">
        <f t="shared" si="5"/>
        <v>-3403436.4299999997</v>
      </c>
      <c r="H475" s="192"/>
    </row>
    <row r="476" spans="1:8">
      <c r="A476" s="188">
        <v>46022</v>
      </c>
      <c r="B476" s="428" t="s">
        <v>481</v>
      </c>
      <c r="C476" s="189" t="s">
        <v>486</v>
      </c>
      <c r="D476" s="212"/>
      <c r="E476" s="392">
        <v>16181.92</v>
      </c>
      <c r="F476" s="192">
        <v>16181.9</v>
      </c>
      <c r="G476" s="200">
        <f t="shared" si="5"/>
        <v>-3387254.51</v>
      </c>
      <c r="H476" s="192"/>
    </row>
    <row r="477" spans="1:8">
      <c r="A477" s="188">
        <v>46022</v>
      </c>
      <c r="B477" s="428" t="s">
        <v>490</v>
      </c>
      <c r="C477" s="189" t="s">
        <v>491</v>
      </c>
      <c r="D477" s="212"/>
      <c r="E477" s="392">
        <v>559000</v>
      </c>
      <c r="F477" s="192">
        <v>559000</v>
      </c>
      <c r="G477" s="200">
        <f t="shared" si="5"/>
        <v>-2828254.51</v>
      </c>
      <c r="H477" s="192"/>
    </row>
    <row r="478" spans="1:8">
      <c r="A478" s="188">
        <v>46022</v>
      </c>
      <c r="B478" s="428" t="s">
        <v>444</v>
      </c>
      <c r="C478" s="189" t="s">
        <v>493</v>
      </c>
      <c r="D478" s="212"/>
      <c r="E478" s="392">
        <v>75000</v>
      </c>
      <c r="F478" s="192">
        <v>75000</v>
      </c>
      <c r="G478" s="200">
        <f t="shared" si="5"/>
        <v>-2753254.51</v>
      </c>
      <c r="H478" s="192"/>
    </row>
    <row r="479" spans="1:8">
      <c r="A479" s="188">
        <v>46022</v>
      </c>
      <c r="B479" s="428" t="s">
        <v>450</v>
      </c>
      <c r="C479" s="189" t="s">
        <v>495</v>
      </c>
      <c r="D479" s="212"/>
      <c r="E479" s="392">
        <v>100000</v>
      </c>
      <c r="F479" s="192">
        <v>100000</v>
      </c>
      <c r="G479" s="200">
        <f t="shared" si="5"/>
        <v>-2653254.5099999998</v>
      </c>
      <c r="H479" s="192"/>
    </row>
    <row r="480" spans="1:8">
      <c r="A480" s="188">
        <v>46017</v>
      </c>
      <c r="B480" s="428" t="s">
        <v>450</v>
      </c>
      <c r="C480" s="189" t="s">
        <v>508</v>
      </c>
      <c r="D480" s="212"/>
      <c r="E480" s="392">
        <v>50000</v>
      </c>
      <c r="F480" s="191">
        <v>50000</v>
      </c>
      <c r="G480" s="200">
        <f t="shared" si="5"/>
        <v>-2603254.5099999998</v>
      </c>
      <c r="H480" s="192"/>
    </row>
    <row r="481" spans="1:8">
      <c r="A481" s="188">
        <v>46022</v>
      </c>
      <c r="B481" s="428" t="s">
        <v>55</v>
      </c>
      <c r="C481" s="189" t="s">
        <v>509</v>
      </c>
      <c r="D481" s="212"/>
      <c r="E481" s="392">
        <v>13455</v>
      </c>
      <c r="F481" s="191">
        <v>13455</v>
      </c>
      <c r="G481" s="200">
        <f t="shared" si="5"/>
        <v>-2589799.5099999998</v>
      </c>
      <c r="H481" s="192"/>
    </row>
    <row r="482" spans="1:8">
      <c r="A482" s="188">
        <v>46022</v>
      </c>
      <c r="B482" s="428" t="s">
        <v>55</v>
      </c>
      <c r="C482" s="189" t="s">
        <v>510</v>
      </c>
      <c r="D482" s="212"/>
      <c r="E482" s="392">
        <v>82400</v>
      </c>
      <c r="F482" s="191">
        <v>82400</v>
      </c>
      <c r="G482" s="200">
        <f t="shared" si="5"/>
        <v>-2507399.5099999998</v>
      </c>
      <c r="H482" s="192"/>
    </row>
    <row r="483" spans="1:8">
      <c r="A483" s="188">
        <v>46017</v>
      </c>
      <c r="B483" s="428" t="s">
        <v>450</v>
      </c>
      <c r="C483" s="189" t="s">
        <v>511</v>
      </c>
      <c r="D483" s="212"/>
      <c r="E483" s="392">
        <v>2400</v>
      </c>
      <c r="F483" s="191">
        <v>2400</v>
      </c>
      <c r="G483" s="200">
        <f t="shared" si="5"/>
        <v>-2504999.5099999998</v>
      </c>
      <c r="H483" s="192"/>
    </row>
    <row r="484" spans="1:8">
      <c r="A484" s="188">
        <v>46021</v>
      </c>
      <c r="B484" s="428" t="s">
        <v>450</v>
      </c>
      <c r="C484" s="189" t="s">
        <v>512</v>
      </c>
      <c r="D484" s="212"/>
      <c r="E484" s="392">
        <v>16000</v>
      </c>
      <c r="F484" s="191">
        <v>16000</v>
      </c>
      <c r="G484" s="200">
        <f t="shared" si="5"/>
        <v>-2488999.5099999998</v>
      </c>
      <c r="H484" s="192"/>
    </row>
    <row r="485" spans="1:8">
      <c r="A485" s="188">
        <v>46021</v>
      </c>
      <c r="B485" s="428" t="s">
        <v>450</v>
      </c>
      <c r="C485" s="189" t="s">
        <v>513</v>
      </c>
      <c r="D485" s="212"/>
      <c r="E485" s="392">
        <v>16240.14</v>
      </c>
      <c r="F485" s="191">
        <v>16240.14</v>
      </c>
      <c r="G485" s="200">
        <f t="shared" si="5"/>
        <v>-2472759.3699999996</v>
      </c>
      <c r="H485" s="192"/>
    </row>
    <row r="486" spans="1:8" ht="13.5" customHeight="1">
      <c r="A486" s="193"/>
      <c r="B486" s="430"/>
      <c r="C486" s="194"/>
      <c r="D486" s="195" t="s">
        <v>372</v>
      </c>
      <c r="E486" s="394" t="s">
        <v>373</v>
      </c>
      <c r="F486" s="202" t="s">
        <v>514</v>
      </c>
      <c r="G486" s="195" t="s">
        <v>226</v>
      </c>
      <c r="H486" s="196"/>
    </row>
    <row r="487" spans="1:8" ht="26.25" customHeight="1">
      <c r="A487" s="197"/>
      <c r="D487" s="198">
        <f>SUM(D449:D486)</f>
        <v>6481000</v>
      </c>
      <c r="E487" s="391">
        <f>SUM(E449:E486)</f>
        <v>4008240.6300000004</v>
      </c>
      <c r="F487" s="198">
        <f>SUM(F449:F485)</f>
        <v>4008240.5599999996</v>
      </c>
      <c r="G487" s="198">
        <f>D487-E487</f>
        <v>2472759.3699999996</v>
      </c>
    </row>
    <row r="488" spans="1:8" ht="22.5" customHeight="1">
      <c r="A488" s="183" t="s">
        <v>24</v>
      </c>
      <c r="B488" s="426" t="s">
        <v>363</v>
      </c>
      <c r="C488" s="184" t="s">
        <v>364</v>
      </c>
      <c r="D488" s="185" t="s">
        <v>365</v>
      </c>
      <c r="E488" s="376" t="s">
        <v>366</v>
      </c>
      <c r="F488" s="185" t="s">
        <v>398</v>
      </c>
      <c r="G488" s="185" t="s">
        <v>367</v>
      </c>
      <c r="H488" s="186" t="s">
        <v>368</v>
      </c>
    </row>
    <row r="489" spans="1:8">
      <c r="A489" s="188">
        <v>46006</v>
      </c>
      <c r="B489" s="427" t="s">
        <v>369</v>
      </c>
      <c r="C489" s="189" t="s">
        <v>375</v>
      </c>
      <c r="D489" s="190">
        <v>3048000</v>
      </c>
      <c r="E489" s="392">
        <v>0</v>
      </c>
      <c r="F489" s="201"/>
      <c r="G489" s="200">
        <f>E489-D489</f>
        <v>-3048000</v>
      </c>
      <c r="H489" s="192"/>
    </row>
    <row r="490" spans="1:8">
      <c r="A490" s="188">
        <v>46009</v>
      </c>
      <c r="B490" s="427" t="s">
        <v>444</v>
      </c>
      <c r="C490" s="189" t="s">
        <v>445</v>
      </c>
      <c r="D490" s="190"/>
      <c r="E490" s="392">
        <v>220000</v>
      </c>
      <c r="F490" s="201">
        <v>220000</v>
      </c>
      <c r="G490" s="200">
        <f t="shared" ref="G490:G516" si="6">G489+E490-D490</f>
        <v>-2828000</v>
      </c>
      <c r="H490" s="192"/>
    </row>
    <row r="491" spans="1:8">
      <c r="A491" s="188">
        <v>46014</v>
      </c>
      <c r="B491" s="428" t="s">
        <v>444</v>
      </c>
      <c r="C491" s="189" t="s">
        <v>446</v>
      </c>
      <c r="D491" s="212"/>
      <c r="E491" s="392">
        <v>700000</v>
      </c>
      <c r="F491" s="201">
        <v>700000</v>
      </c>
      <c r="G491" s="200">
        <f t="shared" si="6"/>
        <v>-2128000</v>
      </c>
      <c r="H491" s="192"/>
    </row>
    <row r="492" spans="1:8">
      <c r="A492" s="188">
        <v>46014</v>
      </c>
      <c r="B492" s="428" t="s">
        <v>444</v>
      </c>
      <c r="C492" s="189" t="s">
        <v>447</v>
      </c>
      <c r="D492" s="212"/>
      <c r="E492" s="392">
        <v>400000</v>
      </c>
      <c r="F492" s="201">
        <v>400000</v>
      </c>
      <c r="G492" s="200">
        <f t="shared" si="6"/>
        <v>-1728000</v>
      </c>
      <c r="H492" s="192"/>
    </row>
    <row r="493" spans="1:8">
      <c r="A493" s="188">
        <v>46010</v>
      </c>
      <c r="B493" s="428" t="s">
        <v>450</v>
      </c>
      <c r="C493" s="189" t="s">
        <v>448</v>
      </c>
      <c r="D493" s="212"/>
      <c r="E493" s="392">
        <v>35000</v>
      </c>
      <c r="F493" s="213">
        <v>35000</v>
      </c>
      <c r="G493" s="200">
        <f t="shared" si="6"/>
        <v>-1693000</v>
      </c>
      <c r="H493" s="192"/>
    </row>
    <row r="494" spans="1:8">
      <c r="A494" s="188">
        <v>46010</v>
      </c>
      <c r="B494" s="428" t="s">
        <v>450</v>
      </c>
      <c r="C494" s="189" t="s">
        <v>449</v>
      </c>
      <c r="D494" s="212"/>
      <c r="E494" s="392">
        <v>18301.990000000002</v>
      </c>
      <c r="F494" s="191">
        <v>18302</v>
      </c>
      <c r="G494" s="200">
        <f t="shared" si="6"/>
        <v>-1674698.01</v>
      </c>
      <c r="H494" s="192"/>
    </row>
    <row r="495" spans="1:8">
      <c r="A495" s="188">
        <v>46010</v>
      </c>
      <c r="B495" s="428" t="s">
        <v>450</v>
      </c>
      <c r="C495" s="189" t="s">
        <v>451</v>
      </c>
      <c r="D495" s="212"/>
      <c r="E495" s="392">
        <v>2522.9499999999998</v>
      </c>
      <c r="F495" s="191">
        <v>2523</v>
      </c>
      <c r="G495" s="200">
        <f t="shared" si="6"/>
        <v>-1672175.06</v>
      </c>
      <c r="H495" s="192"/>
    </row>
    <row r="496" spans="1:8">
      <c r="A496" s="188">
        <v>46010</v>
      </c>
      <c r="B496" s="428" t="s">
        <v>265</v>
      </c>
      <c r="C496" s="189" t="s">
        <v>452</v>
      </c>
      <c r="D496" s="212"/>
      <c r="E496" s="392">
        <v>300000</v>
      </c>
      <c r="F496" s="192">
        <v>300000</v>
      </c>
      <c r="G496" s="200">
        <f t="shared" si="6"/>
        <v>-1372175.06</v>
      </c>
      <c r="H496" s="192"/>
    </row>
    <row r="497" spans="1:8">
      <c r="A497" s="188">
        <v>46010</v>
      </c>
      <c r="B497" s="428" t="s">
        <v>265</v>
      </c>
      <c r="C497" s="189" t="s">
        <v>453</v>
      </c>
      <c r="D497" s="212"/>
      <c r="E497" s="392"/>
      <c r="F497" s="213"/>
      <c r="G497" s="200">
        <f t="shared" si="6"/>
        <v>-1372175.06</v>
      </c>
      <c r="H497" s="192"/>
    </row>
    <row r="498" spans="1:8">
      <c r="A498" s="188">
        <v>46010</v>
      </c>
      <c r="B498" s="428" t="s">
        <v>454</v>
      </c>
      <c r="C498" s="189" t="s">
        <v>455</v>
      </c>
      <c r="D498" s="212"/>
      <c r="E498" s="392">
        <v>450000</v>
      </c>
      <c r="F498" s="213">
        <v>450000</v>
      </c>
      <c r="G498" s="200">
        <f t="shared" si="6"/>
        <v>-922175.06</v>
      </c>
      <c r="H498" s="192"/>
    </row>
    <row r="499" spans="1:8">
      <c r="A499" s="188">
        <v>46010</v>
      </c>
      <c r="B499" s="428" t="s">
        <v>450</v>
      </c>
      <c r="C499" s="189" t="s">
        <v>456</v>
      </c>
      <c r="D499" s="212"/>
      <c r="E499" s="392">
        <v>60000</v>
      </c>
      <c r="F499" s="191">
        <v>60000</v>
      </c>
      <c r="G499" s="200">
        <f t="shared" si="6"/>
        <v>-862175.06</v>
      </c>
      <c r="H499" s="192"/>
    </row>
    <row r="500" spans="1:8">
      <c r="A500" s="188">
        <v>46010</v>
      </c>
      <c r="B500" s="428" t="s">
        <v>450</v>
      </c>
      <c r="C500" s="189" t="s">
        <v>457</v>
      </c>
      <c r="D500" s="212"/>
      <c r="E500" s="392">
        <v>50000</v>
      </c>
      <c r="F500" s="213">
        <v>50000</v>
      </c>
      <c r="G500" s="200">
        <f t="shared" si="6"/>
        <v>-812175.06</v>
      </c>
      <c r="H500" s="192"/>
    </row>
    <row r="501" spans="1:8">
      <c r="A501" s="188">
        <v>46010</v>
      </c>
      <c r="B501" s="428" t="s">
        <v>454</v>
      </c>
      <c r="C501" s="189" t="s">
        <v>458</v>
      </c>
      <c r="D501" s="212"/>
      <c r="E501" s="392"/>
      <c r="F501" s="191"/>
      <c r="G501" s="200">
        <f t="shared" si="6"/>
        <v>-812175.06</v>
      </c>
      <c r="H501" s="192" t="s">
        <v>459</v>
      </c>
    </row>
    <row r="502" spans="1:8">
      <c r="A502" s="188">
        <v>46010</v>
      </c>
      <c r="B502" s="428" t="s">
        <v>450</v>
      </c>
      <c r="C502" s="189" t="s">
        <v>460</v>
      </c>
      <c r="D502" s="212"/>
      <c r="E502" s="392">
        <v>1039.2</v>
      </c>
      <c r="F502" s="213">
        <v>1039.2</v>
      </c>
      <c r="G502" s="200">
        <f t="shared" si="6"/>
        <v>-811135.8600000001</v>
      </c>
      <c r="H502" s="192"/>
    </row>
    <row r="503" spans="1:8">
      <c r="A503" s="188">
        <v>45645</v>
      </c>
      <c r="B503" s="428" t="s">
        <v>461</v>
      </c>
      <c r="C503" s="189" t="s">
        <v>326</v>
      </c>
      <c r="D503" s="212"/>
      <c r="E503" s="392">
        <v>19200</v>
      </c>
      <c r="F503" s="213">
        <v>19200</v>
      </c>
      <c r="G503" s="200">
        <f t="shared" si="6"/>
        <v>-791935.8600000001</v>
      </c>
      <c r="H503" s="192"/>
    </row>
    <row r="504" spans="1:8">
      <c r="A504" s="188">
        <v>46010</v>
      </c>
      <c r="B504" s="428" t="s">
        <v>462</v>
      </c>
      <c r="C504" s="189" t="s">
        <v>463</v>
      </c>
      <c r="D504" s="212"/>
      <c r="E504" s="392">
        <v>12000</v>
      </c>
      <c r="F504" s="213">
        <v>12000</v>
      </c>
      <c r="G504" s="200">
        <f t="shared" si="6"/>
        <v>-779935.8600000001</v>
      </c>
      <c r="H504" s="192"/>
    </row>
    <row r="505" spans="1:8">
      <c r="A505" s="188">
        <v>46010</v>
      </c>
      <c r="B505" s="428" t="s">
        <v>465</v>
      </c>
      <c r="C505" s="189" t="s">
        <v>467</v>
      </c>
      <c r="D505" s="212"/>
      <c r="E505" s="392">
        <v>171212</v>
      </c>
      <c r="F505" s="192">
        <v>171212</v>
      </c>
      <c r="G505" s="200">
        <f t="shared" si="6"/>
        <v>-608723.8600000001</v>
      </c>
      <c r="H505" s="192"/>
    </row>
    <row r="506" spans="1:8">
      <c r="A506" s="188">
        <v>46010</v>
      </c>
      <c r="B506" s="428" t="s">
        <v>450</v>
      </c>
      <c r="C506" s="189" t="s">
        <v>466</v>
      </c>
      <c r="D506" s="212"/>
      <c r="E506" s="392">
        <v>250000</v>
      </c>
      <c r="F506" s="192">
        <v>250000</v>
      </c>
      <c r="G506" s="200">
        <f t="shared" si="6"/>
        <v>-358723.8600000001</v>
      </c>
      <c r="H506" s="192"/>
    </row>
    <row r="507" spans="1:8">
      <c r="A507" s="188">
        <v>46010</v>
      </c>
      <c r="B507" s="428" t="s">
        <v>450</v>
      </c>
      <c r="C507" s="189" t="s">
        <v>469</v>
      </c>
      <c r="D507" s="212"/>
      <c r="E507" s="395">
        <v>308000</v>
      </c>
      <c r="F507" s="192">
        <v>308000</v>
      </c>
      <c r="G507" s="200">
        <f t="shared" si="6"/>
        <v>-50723.860000000102</v>
      </c>
      <c r="H507" s="192"/>
    </row>
    <row r="508" spans="1:8">
      <c r="A508" s="188">
        <v>46010</v>
      </c>
      <c r="B508" s="428" t="s">
        <v>450</v>
      </c>
      <c r="C508" s="189" t="s">
        <v>468</v>
      </c>
      <c r="D508" s="212"/>
      <c r="E508" s="392">
        <v>20276</v>
      </c>
      <c r="F508" s="213">
        <v>20276</v>
      </c>
      <c r="G508" s="200">
        <f t="shared" si="6"/>
        <v>-30447.860000000102</v>
      </c>
      <c r="H508" s="192"/>
    </row>
    <row r="509" spans="1:8">
      <c r="A509" s="188">
        <v>46010</v>
      </c>
      <c r="B509" s="428" t="s">
        <v>450</v>
      </c>
      <c r="C509" s="189" t="s">
        <v>470</v>
      </c>
      <c r="D509" s="212"/>
      <c r="E509" s="392">
        <v>10500</v>
      </c>
      <c r="F509" s="192">
        <v>10500</v>
      </c>
      <c r="G509" s="200">
        <f t="shared" si="6"/>
        <v>-19947.860000000102</v>
      </c>
      <c r="H509" s="192"/>
    </row>
    <row r="510" spans="1:8">
      <c r="A510" s="188">
        <v>46010</v>
      </c>
      <c r="B510" s="428" t="s">
        <v>450</v>
      </c>
      <c r="C510" s="189" t="s">
        <v>471</v>
      </c>
      <c r="D510" s="212"/>
      <c r="E510" s="392">
        <v>10790</v>
      </c>
      <c r="F510" s="192">
        <v>10790</v>
      </c>
      <c r="G510" s="200">
        <f t="shared" si="6"/>
        <v>-9157.8600000001024</v>
      </c>
      <c r="H510" s="192"/>
    </row>
    <row r="511" spans="1:8">
      <c r="A511" s="188">
        <v>46010</v>
      </c>
      <c r="B511" s="428" t="s">
        <v>450</v>
      </c>
      <c r="C511" s="189" t="s">
        <v>472</v>
      </c>
      <c r="D511" s="212"/>
      <c r="E511" s="392">
        <v>900</v>
      </c>
      <c r="F511" s="192">
        <v>900</v>
      </c>
      <c r="G511" s="200">
        <f t="shared" si="6"/>
        <v>-8257.8600000001024</v>
      </c>
      <c r="H511" s="192"/>
    </row>
    <row r="512" spans="1:8">
      <c r="A512" s="188">
        <v>46010</v>
      </c>
      <c r="B512" s="428" t="s">
        <v>450</v>
      </c>
      <c r="C512" s="189" t="s">
        <v>473</v>
      </c>
      <c r="D512" s="212"/>
      <c r="E512" s="392">
        <v>1440</v>
      </c>
      <c r="F512" s="213">
        <v>1440</v>
      </c>
      <c r="G512" s="200">
        <f t="shared" si="6"/>
        <v>-6817.8600000001024</v>
      </c>
      <c r="H512" s="192"/>
    </row>
    <row r="513" spans="1:8">
      <c r="A513" s="188">
        <v>46013</v>
      </c>
      <c r="B513" s="428" t="s">
        <v>450</v>
      </c>
      <c r="C513" s="189" t="s">
        <v>474</v>
      </c>
      <c r="D513" s="212"/>
      <c r="E513" s="392">
        <v>7000</v>
      </c>
      <c r="F513" s="213">
        <v>7000</v>
      </c>
      <c r="G513" s="200">
        <f t="shared" si="6"/>
        <v>182.13999999989755</v>
      </c>
      <c r="H513" s="192"/>
    </row>
    <row r="514" spans="1:8">
      <c r="A514" s="188">
        <v>46014</v>
      </c>
      <c r="B514" s="428" t="s">
        <v>450</v>
      </c>
      <c r="C514" s="189" t="s">
        <v>475</v>
      </c>
      <c r="D514" s="212"/>
      <c r="E514" s="392">
        <v>25545</v>
      </c>
      <c r="F514" s="213">
        <v>25545</v>
      </c>
      <c r="G514" s="200">
        <f t="shared" si="6"/>
        <v>25727.139999999898</v>
      </c>
      <c r="H514" s="192"/>
    </row>
    <row r="515" spans="1:8">
      <c r="A515" s="188">
        <v>46012</v>
      </c>
      <c r="B515" s="428" t="s">
        <v>450</v>
      </c>
      <c r="C515" s="189" t="s">
        <v>476</v>
      </c>
      <c r="D515" s="212"/>
      <c r="E515" s="392">
        <v>18000</v>
      </c>
      <c r="F515" s="213">
        <v>18000</v>
      </c>
      <c r="G515" s="200">
        <f t="shared" si="6"/>
        <v>43727.139999999898</v>
      </c>
      <c r="H515" s="192"/>
    </row>
    <row r="516" spans="1:8">
      <c r="A516" s="188">
        <v>46011</v>
      </c>
      <c r="B516" s="428" t="s">
        <v>450</v>
      </c>
      <c r="C516" s="189" t="s">
        <v>477</v>
      </c>
      <c r="D516" s="212"/>
      <c r="E516" s="392">
        <v>10000</v>
      </c>
      <c r="F516" s="213">
        <v>10000</v>
      </c>
      <c r="G516" s="200">
        <f t="shared" si="6"/>
        <v>53727.139999999898</v>
      </c>
      <c r="H516" s="192"/>
    </row>
    <row r="517" spans="1:8" ht="13.5" customHeight="1">
      <c r="A517" s="193"/>
      <c r="B517" s="430"/>
      <c r="C517" s="194"/>
      <c r="D517" s="195" t="s">
        <v>372</v>
      </c>
      <c r="E517" s="394" t="s">
        <v>373</v>
      </c>
      <c r="F517" s="202"/>
      <c r="G517" s="195" t="s">
        <v>226</v>
      </c>
      <c r="H517" s="196"/>
    </row>
    <row r="518" spans="1:8" ht="26.25" customHeight="1">
      <c r="A518" s="197"/>
      <c r="D518" s="198">
        <f>SUM(D489:D517)</f>
        <v>3048000</v>
      </c>
      <c r="E518" s="391">
        <f>SUM(E489:E517)</f>
        <v>3101727.14</v>
      </c>
      <c r="F518" s="198">
        <f>SUM(F489:F516)</f>
        <v>3101727.2</v>
      </c>
      <c r="G518" s="198">
        <f>D518-E518</f>
        <v>-53727.14000000013</v>
      </c>
    </row>
    <row r="519" spans="1:8" ht="26.25" customHeight="1">
      <c r="A519" s="197"/>
      <c r="D519" s="198"/>
      <c r="E519" s="391"/>
      <c r="F519" s="198"/>
      <c r="G519" s="198"/>
    </row>
    <row r="520" spans="1:8" ht="22.5" customHeight="1">
      <c r="A520" s="183" t="s">
        <v>24</v>
      </c>
      <c r="B520" s="426" t="s">
        <v>363</v>
      </c>
      <c r="C520" s="184" t="s">
        <v>364</v>
      </c>
      <c r="D520" s="185" t="s">
        <v>365</v>
      </c>
      <c r="E520" s="376" t="s">
        <v>366</v>
      </c>
      <c r="F520" s="185" t="s">
        <v>398</v>
      </c>
      <c r="G520" s="185" t="s">
        <v>367</v>
      </c>
      <c r="H520" s="186" t="s">
        <v>368</v>
      </c>
    </row>
    <row r="521" spans="1:8">
      <c r="A521" s="188">
        <v>46003</v>
      </c>
      <c r="B521" s="427" t="s">
        <v>369</v>
      </c>
      <c r="C521" s="189" t="s">
        <v>375</v>
      </c>
      <c r="D521" s="190">
        <v>3650000</v>
      </c>
      <c r="E521" s="392">
        <v>0</v>
      </c>
      <c r="F521" s="201"/>
      <c r="G521" s="200">
        <f>E521-D521</f>
        <v>-3650000</v>
      </c>
      <c r="H521" s="192"/>
    </row>
    <row r="522" spans="1:8">
      <c r="A522" s="188">
        <v>46003</v>
      </c>
      <c r="B522" s="427" t="s">
        <v>369</v>
      </c>
      <c r="C522" s="189" t="s">
        <v>401</v>
      </c>
      <c r="D522" s="190">
        <v>50000</v>
      </c>
      <c r="E522" s="392">
        <v>0</v>
      </c>
      <c r="F522" s="201"/>
      <c r="G522" s="200">
        <f t="shared" ref="G522:G548" si="7">G521+E522-D522</f>
        <v>-3700000</v>
      </c>
      <c r="H522" s="192"/>
    </row>
    <row r="523" spans="1:8">
      <c r="A523" s="188">
        <v>46003</v>
      </c>
      <c r="B523" s="427" t="s">
        <v>380</v>
      </c>
      <c r="C523" s="189" t="s">
        <v>379</v>
      </c>
      <c r="D523" s="190"/>
      <c r="E523" s="396">
        <v>1876000</v>
      </c>
      <c r="F523" s="201"/>
      <c r="G523" s="200">
        <f t="shared" si="7"/>
        <v>-1824000</v>
      </c>
      <c r="H523" s="192"/>
    </row>
    <row r="524" spans="1:8">
      <c r="A524" s="188">
        <v>46006</v>
      </c>
      <c r="B524" s="427" t="s">
        <v>146</v>
      </c>
      <c r="C524" s="189" t="s">
        <v>416</v>
      </c>
      <c r="D524" s="190"/>
      <c r="E524" s="397">
        <v>382000</v>
      </c>
      <c r="F524" s="201"/>
      <c r="G524" s="200">
        <f t="shared" si="7"/>
        <v>-1442000</v>
      </c>
      <c r="H524" s="192"/>
    </row>
    <row r="525" spans="1:8">
      <c r="A525" s="188">
        <v>46006</v>
      </c>
      <c r="B525" s="428" t="s">
        <v>254</v>
      </c>
      <c r="C525" s="189" t="s">
        <v>417</v>
      </c>
      <c r="D525" s="212"/>
      <c r="E525" s="396">
        <v>602916</v>
      </c>
      <c r="F525" s="213"/>
      <c r="G525" s="200">
        <f t="shared" si="7"/>
        <v>-839084</v>
      </c>
      <c r="H525" s="192"/>
    </row>
    <row r="526" spans="1:8">
      <c r="A526" s="188">
        <v>46003</v>
      </c>
      <c r="B526" s="431" t="s">
        <v>392</v>
      </c>
      <c r="C526" s="206" t="s">
        <v>397</v>
      </c>
      <c r="D526" s="190"/>
      <c r="E526" s="397">
        <v>179750</v>
      </c>
      <c r="F526" s="191"/>
      <c r="G526" s="200">
        <f t="shared" si="7"/>
        <v>-659334</v>
      </c>
      <c r="H526" s="192"/>
    </row>
    <row r="527" spans="1:8">
      <c r="A527" s="188">
        <v>46003</v>
      </c>
      <c r="B527" s="431" t="s">
        <v>392</v>
      </c>
      <c r="C527" s="206" t="s">
        <v>418</v>
      </c>
      <c r="D527" s="190"/>
      <c r="E527" s="392"/>
      <c r="F527" s="191">
        <v>50000</v>
      </c>
      <c r="G527" s="200">
        <f t="shared" si="7"/>
        <v>-659334</v>
      </c>
      <c r="H527" s="192"/>
    </row>
    <row r="528" spans="1:8">
      <c r="A528" s="188">
        <v>46006</v>
      </c>
      <c r="B528" s="427" t="s">
        <v>385</v>
      </c>
      <c r="C528" s="189" t="s">
        <v>419</v>
      </c>
      <c r="D528" s="212"/>
      <c r="E528" s="397">
        <v>120000</v>
      </c>
      <c r="F528" s="192"/>
      <c r="G528" s="200">
        <f t="shared" si="7"/>
        <v>-539334</v>
      </c>
      <c r="H528" s="192" t="s">
        <v>420</v>
      </c>
    </row>
    <row r="529" spans="1:8">
      <c r="A529" s="188">
        <v>46006</v>
      </c>
      <c r="B529" s="427" t="s">
        <v>385</v>
      </c>
      <c r="C529" s="189" t="s">
        <v>421</v>
      </c>
      <c r="D529" s="212"/>
      <c r="E529" s="397">
        <v>250000</v>
      </c>
      <c r="F529" s="213"/>
      <c r="G529" s="200">
        <f t="shared" si="7"/>
        <v>-289334</v>
      </c>
      <c r="H529" s="192"/>
    </row>
    <row r="530" spans="1:8">
      <c r="A530" s="188">
        <v>46371</v>
      </c>
      <c r="B530" s="427" t="s">
        <v>385</v>
      </c>
      <c r="C530" s="189" t="s">
        <v>422</v>
      </c>
      <c r="D530" s="212"/>
      <c r="E530" s="397">
        <v>117000</v>
      </c>
      <c r="F530" s="213"/>
      <c r="G530" s="200">
        <f t="shared" si="7"/>
        <v>-172334</v>
      </c>
      <c r="H530" s="192"/>
    </row>
    <row r="531" spans="1:8">
      <c r="A531" s="188">
        <v>46003</v>
      </c>
      <c r="B531" s="431" t="s">
        <v>392</v>
      </c>
      <c r="C531" s="189" t="s">
        <v>423</v>
      </c>
      <c r="D531" s="212"/>
      <c r="E531" s="392">
        <v>0</v>
      </c>
      <c r="F531" s="191"/>
      <c r="G531" s="200">
        <f t="shared" si="7"/>
        <v>-172334</v>
      </c>
      <c r="H531" s="192"/>
    </row>
    <row r="532" spans="1:8">
      <c r="A532" s="188">
        <v>46003</v>
      </c>
      <c r="B532" s="431" t="s">
        <v>392</v>
      </c>
      <c r="C532" s="189" t="s">
        <v>424</v>
      </c>
      <c r="D532" s="212"/>
      <c r="E532" s="397">
        <v>96350</v>
      </c>
      <c r="F532" s="213"/>
      <c r="G532" s="200">
        <f t="shared" si="7"/>
        <v>-75984</v>
      </c>
      <c r="H532" s="192"/>
    </row>
    <row r="533" spans="1:8">
      <c r="A533" s="188">
        <v>46003</v>
      </c>
      <c r="B533" s="427" t="s">
        <v>380</v>
      </c>
      <c r="C533" s="189" t="s">
        <v>425</v>
      </c>
      <c r="D533" s="212"/>
      <c r="E533" s="392">
        <v>0</v>
      </c>
      <c r="F533" s="191"/>
      <c r="G533" s="200">
        <f t="shared" si="7"/>
        <v>-75984</v>
      </c>
      <c r="H533" s="192" t="s">
        <v>426</v>
      </c>
    </row>
    <row r="534" spans="1:8">
      <c r="A534" s="188">
        <v>46003</v>
      </c>
      <c r="B534" s="428" t="s">
        <v>427</v>
      </c>
      <c r="C534" s="189" t="s">
        <v>428</v>
      </c>
      <c r="D534" s="212"/>
      <c r="E534" s="397">
        <v>10200</v>
      </c>
      <c r="F534" s="213"/>
      <c r="G534" s="200">
        <f t="shared" si="7"/>
        <v>-65784</v>
      </c>
      <c r="H534" s="192"/>
    </row>
    <row r="535" spans="1:8">
      <c r="A535" s="188">
        <v>46003</v>
      </c>
      <c r="B535" s="428" t="s">
        <v>288</v>
      </c>
      <c r="C535" s="189" t="s">
        <v>429</v>
      </c>
      <c r="D535" s="212"/>
      <c r="E535" s="397">
        <v>10000</v>
      </c>
      <c r="F535" s="213"/>
      <c r="G535" s="200">
        <f t="shared" si="7"/>
        <v>-55784</v>
      </c>
      <c r="H535" s="192"/>
    </row>
    <row r="536" spans="1:8">
      <c r="A536" s="188">
        <v>46003</v>
      </c>
      <c r="B536" s="428" t="s">
        <v>430</v>
      </c>
      <c r="C536" s="189" t="s">
        <v>431</v>
      </c>
      <c r="D536" s="212"/>
      <c r="E536" s="397">
        <v>20000</v>
      </c>
      <c r="F536" s="213"/>
      <c r="G536" s="200">
        <f t="shared" si="7"/>
        <v>-35784</v>
      </c>
      <c r="H536" s="192"/>
    </row>
    <row r="537" spans="1:8">
      <c r="A537" s="188">
        <v>46003</v>
      </c>
      <c r="B537" s="428" t="s">
        <v>432</v>
      </c>
      <c r="C537" s="189" t="s">
        <v>433</v>
      </c>
      <c r="D537" s="212"/>
      <c r="E537" s="397">
        <v>42000</v>
      </c>
      <c r="F537" s="192"/>
      <c r="G537" s="200">
        <f t="shared" si="7"/>
        <v>6216</v>
      </c>
      <c r="H537" s="192"/>
    </row>
    <row r="538" spans="1:8">
      <c r="A538" s="188">
        <v>46003</v>
      </c>
      <c r="B538" s="428" t="s">
        <v>432</v>
      </c>
      <c r="C538" s="189" t="s">
        <v>434</v>
      </c>
      <c r="D538" s="212"/>
      <c r="E538" s="397">
        <v>3954</v>
      </c>
      <c r="F538" s="192"/>
      <c r="G538" s="200">
        <f t="shared" si="7"/>
        <v>10170</v>
      </c>
      <c r="H538" s="192"/>
    </row>
    <row r="539" spans="1:8">
      <c r="A539" s="188"/>
      <c r="B539" s="428"/>
      <c r="C539" s="189"/>
      <c r="D539" s="212"/>
      <c r="E539" s="392">
        <v>0</v>
      </c>
      <c r="F539" s="192"/>
      <c r="G539" s="200">
        <f t="shared" si="7"/>
        <v>10170</v>
      </c>
      <c r="H539" s="192"/>
    </row>
    <row r="540" spans="1:8">
      <c r="A540" s="188"/>
      <c r="B540" s="428"/>
      <c r="C540" s="189"/>
      <c r="D540" s="212"/>
      <c r="E540" s="392">
        <v>0</v>
      </c>
      <c r="F540" s="213"/>
      <c r="G540" s="200">
        <f t="shared" si="7"/>
        <v>10170</v>
      </c>
      <c r="H540" s="192"/>
    </row>
    <row r="541" spans="1:8">
      <c r="A541" s="188"/>
      <c r="B541" s="428"/>
      <c r="C541" s="189"/>
      <c r="D541" s="212"/>
      <c r="E541" s="392">
        <v>0</v>
      </c>
      <c r="F541" s="192"/>
      <c r="G541" s="200">
        <f t="shared" si="7"/>
        <v>10170</v>
      </c>
      <c r="H541" s="192"/>
    </row>
    <row r="542" spans="1:8">
      <c r="A542" s="188"/>
      <c r="B542" s="428"/>
      <c r="C542" s="189"/>
      <c r="D542" s="212"/>
      <c r="E542" s="392">
        <v>0</v>
      </c>
      <c r="F542" s="192"/>
      <c r="G542" s="200">
        <f t="shared" si="7"/>
        <v>10170</v>
      </c>
      <c r="H542" s="192"/>
    </row>
    <row r="543" spans="1:8">
      <c r="A543" s="188"/>
      <c r="B543" s="428"/>
      <c r="C543" s="189"/>
      <c r="D543" s="212"/>
      <c r="E543" s="392">
        <v>0</v>
      </c>
      <c r="F543" s="192"/>
      <c r="G543" s="200">
        <f t="shared" si="7"/>
        <v>10170</v>
      </c>
      <c r="H543" s="192"/>
    </row>
    <row r="544" spans="1:8">
      <c r="A544" s="188"/>
      <c r="B544" s="428"/>
      <c r="C544" s="189"/>
      <c r="D544" s="212"/>
      <c r="E544" s="392">
        <v>0</v>
      </c>
      <c r="F544" s="213"/>
      <c r="G544" s="200">
        <f t="shared" si="7"/>
        <v>10170</v>
      </c>
      <c r="H544" s="192"/>
    </row>
    <row r="545" spans="1:8">
      <c r="A545" s="188"/>
      <c r="B545" s="428"/>
      <c r="C545" s="189"/>
      <c r="D545" s="212"/>
      <c r="E545" s="392">
        <v>0</v>
      </c>
      <c r="F545" s="213"/>
      <c r="G545" s="200">
        <f t="shared" si="7"/>
        <v>10170</v>
      </c>
      <c r="H545" s="192"/>
    </row>
    <row r="546" spans="1:8">
      <c r="A546" s="188"/>
      <c r="B546" s="428"/>
      <c r="C546" s="189"/>
      <c r="D546" s="212"/>
      <c r="E546" s="392">
        <v>0</v>
      </c>
      <c r="F546" s="213"/>
      <c r="G546" s="200">
        <f t="shared" si="7"/>
        <v>10170</v>
      </c>
      <c r="H546" s="192"/>
    </row>
    <row r="547" spans="1:8">
      <c r="A547" s="188"/>
      <c r="B547" s="428"/>
      <c r="C547" s="189"/>
      <c r="D547" s="212"/>
      <c r="E547" s="392">
        <v>0</v>
      </c>
      <c r="F547" s="213"/>
      <c r="G547" s="200">
        <f t="shared" si="7"/>
        <v>10170</v>
      </c>
      <c r="H547" s="192"/>
    </row>
    <row r="548" spans="1:8">
      <c r="A548" s="188"/>
      <c r="B548" s="428"/>
      <c r="C548" s="189"/>
      <c r="D548" s="212"/>
      <c r="E548" s="392">
        <v>0</v>
      </c>
      <c r="F548" s="213"/>
      <c r="G548" s="200">
        <f t="shared" si="7"/>
        <v>10170</v>
      </c>
      <c r="H548" s="192"/>
    </row>
    <row r="549" spans="1:8" ht="13.5" customHeight="1">
      <c r="A549" s="193"/>
      <c r="B549" s="430"/>
      <c r="C549" s="194"/>
      <c r="D549" s="195" t="s">
        <v>372</v>
      </c>
      <c r="E549" s="394" t="s">
        <v>373</v>
      </c>
      <c r="F549" s="202"/>
      <c r="G549" s="195" t="s">
        <v>226</v>
      </c>
      <c r="H549" s="196"/>
    </row>
    <row r="550" spans="1:8" ht="26.25" customHeight="1">
      <c r="A550" s="197"/>
      <c r="D550" s="198">
        <f>SUM(D521:D549)</f>
        <v>3700000</v>
      </c>
      <c r="E550" s="391">
        <f>SUM(E521:E549)</f>
        <v>3710170</v>
      </c>
      <c r="F550" s="198">
        <f>SUM(F521:F548)</f>
        <v>50000</v>
      </c>
      <c r="G550" s="198">
        <f>D550-E550</f>
        <v>-10170</v>
      </c>
    </row>
    <row r="551" spans="1:8">
      <c r="A551" s="197"/>
      <c r="D551" s="199"/>
      <c r="E551" s="398"/>
      <c r="F551" s="197"/>
    </row>
    <row r="552" spans="1:8" ht="25">
      <c r="E552" s="399" t="s">
        <v>404</v>
      </c>
      <c r="F552" s="205">
        <f>E550-F550</f>
        <v>3660170</v>
      </c>
    </row>
    <row r="555" spans="1:8" ht="22.5" customHeight="1">
      <c r="A555" s="183" t="s">
        <v>24</v>
      </c>
      <c r="B555" s="426" t="s">
        <v>363</v>
      </c>
      <c r="C555" s="184" t="s">
        <v>364</v>
      </c>
      <c r="D555" s="185" t="s">
        <v>365</v>
      </c>
      <c r="E555" s="376" t="s">
        <v>366</v>
      </c>
      <c r="F555" s="185" t="s">
        <v>398</v>
      </c>
      <c r="G555" s="185" t="s">
        <v>367</v>
      </c>
      <c r="H555" s="186" t="s">
        <v>368</v>
      </c>
    </row>
    <row r="556" spans="1:8">
      <c r="A556" s="188">
        <v>45999</v>
      </c>
      <c r="B556" s="427" t="s">
        <v>369</v>
      </c>
      <c r="C556" s="189" t="s">
        <v>370</v>
      </c>
      <c r="D556" s="190">
        <v>2000000</v>
      </c>
      <c r="E556" s="392">
        <v>0</v>
      </c>
      <c r="F556" s="201"/>
      <c r="G556" s="200">
        <f>E556-D556</f>
        <v>-2000000</v>
      </c>
      <c r="H556" s="192"/>
    </row>
    <row r="557" spans="1:8">
      <c r="A557" s="188">
        <v>45995</v>
      </c>
      <c r="B557" s="427" t="s">
        <v>369</v>
      </c>
      <c r="C557" s="189" t="s">
        <v>375</v>
      </c>
      <c r="D557" s="190">
        <v>4683919.33</v>
      </c>
      <c r="E557" s="392">
        <v>0</v>
      </c>
      <c r="F557" s="201"/>
      <c r="G557" s="200">
        <f t="shared" ref="G557:G589" si="8">G556+E557-D557</f>
        <v>-6683919.3300000001</v>
      </c>
      <c r="H557" s="192"/>
    </row>
    <row r="558" spans="1:8">
      <c r="A558" s="188">
        <v>45995</v>
      </c>
      <c r="B558" s="427" t="s">
        <v>374</v>
      </c>
      <c r="C558" s="189" t="s">
        <v>401</v>
      </c>
      <c r="D558" s="190">
        <v>150000</v>
      </c>
      <c r="E558" s="392">
        <v>0</v>
      </c>
      <c r="F558" s="201"/>
      <c r="G558" s="200">
        <f t="shared" si="8"/>
        <v>-6833919.3300000001</v>
      </c>
      <c r="H558" s="192"/>
    </row>
    <row r="559" spans="1:8">
      <c r="A559" s="188">
        <v>45999</v>
      </c>
      <c r="B559" s="427" t="s">
        <v>374</v>
      </c>
      <c r="C559" s="189" t="s">
        <v>400</v>
      </c>
      <c r="D559" s="190">
        <v>2000000</v>
      </c>
      <c r="E559" s="392">
        <v>0</v>
      </c>
      <c r="F559" s="201"/>
      <c r="G559" s="200">
        <f t="shared" si="8"/>
        <v>-8833919.3300000001</v>
      </c>
      <c r="H559" s="192"/>
    </row>
    <row r="560" spans="1:8">
      <c r="A560" s="188">
        <v>46001</v>
      </c>
      <c r="B560" s="427" t="s">
        <v>385</v>
      </c>
      <c r="C560" s="189" t="s">
        <v>376</v>
      </c>
      <c r="D560" s="190"/>
      <c r="E560" s="400">
        <v>296092</v>
      </c>
      <c r="F560" s="204">
        <v>296092</v>
      </c>
      <c r="G560" s="200">
        <f t="shared" si="8"/>
        <v>-8537827.3300000001</v>
      </c>
      <c r="H560" s="192"/>
    </row>
    <row r="561" spans="1:8">
      <c r="A561" s="188">
        <v>45999</v>
      </c>
      <c r="B561" s="427" t="s">
        <v>57</v>
      </c>
      <c r="C561" s="189" t="s">
        <v>377</v>
      </c>
      <c r="D561" s="190"/>
      <c r="E561" s="400">
        <v>425000</v>
      </c>
      <c r="F561" s="207">
        <v>425000</v>
      </c>
      <c r="G561" s="200">
        <f t="shared" si="8"/>
        <v>-8112827.3300000001</v>
      </c>
      <c r="H561" s="192"/>
    </row>
    <row r="562" spans="1:8">
      <c r="A562" s="188">
        <v>45997</v>
      </c>
      <c r="B562" s="427" t="s">
        <v>378</v>
      </c>
      <c r="C562" s="189" t="s">
        <v>378</v>
      </c>
      <c r="D562" s="190"/>
      <c r="E562" s="400">
        <v>70000</v>
      </c>
      <c r="F562" s="203">
        <v>70000</v>
      </c>
      <c r="G562" s="200">
        <f t="shared" si="8"/>
        <v>-8042827.3300000001</v>
      </c>
      <c r="H562" s="192"/>
    </row>
    <row r="563" spans="1:8">
      <c r="A563" s="188">
        <v>45999</v>
      </c>
      <c r="B563" s="427" t="s">
        <v>385</v>
      </c>
      <c r="C563" s="189" t="s">
        <v>381</v>
      </c>
      <c r="D563" s="190"/>
      <c r="E563" s="400">
        <v>650000</v>
      </c>
      <c r="F563" s="207">
        <v>650000</v>
      </c>
      <c r="G563" s="200">
        <f t="shared" si="8"/>
        <v>-7392827.3300000001</v>
      </c>
      <c r="H563" s="192"/>
    </row>
    <row r="564" spans="1:8">
      <c r="A564" s="188">
        <v>46001</v>
      </c>
      <c r="B564" s="427" t="s">
        <v>385</v>
      </c>
      <c r="C564" s="189" t="s">
        <v>382</v>
      </c>
      <c r="D564" s="190"/>
      <c r="E564" s="400">
        <v>857000</v>
      </c>
      <c r="F564" s="204">
        <v>857000</v>
      </c>
      <c r="G564" s="200">
        <f t="shared" si="8"/>
        <v>-6535827.3300000001</v>
      </c>
      <c r="H564" s="192"/>
    </row>
    <row r="565" spans="1:8">
      <c r="A565" s="188">
        <v>45996</v>
      </c>
      <c r="B565" s="427" t="s">
        <v>384</v>
      </c>
      <c r="C565" s="189" t="s">
        <v>383</v>
      </c>
      <c r="D565" s="190"/>
      <c r="E565" s="400">
        <v>82491</v>
      </c>
      <c r="F565" s="203">
        <v>82491</v>
      </c>
      <c r="G565" s="200">
        <f t="shared" si="8"/>
        <v>-6453336.3300000001</v>
      </c>
      <c r="H565" s="192"/>
    </row>
    <row r="566" spans="1:8">
      <c r="A566" s="188">
        <v>46005</v>
      </c>
      <c r="B566" s="427" t="s">
        <v>384</v>
      </c>
      <c r="C566" s="189" t="s">
        <v>386</v>
      </c>
      <c r="D566" s="190"/>
      <c r="E566" s="400">
        <v>35463</v>
      </c>
      <c r="F566" s="207">
        <v>35463</v>
      </c>
      <c r="G566" s="200">
        <f t="shared" si="8"/>
        <v>-6417873.3300000001</v>
      </c>
      <c r="H566" s="192"/>
    </row>
    <row r="567" spans="1:8">
      <c r="A567" s="188">
        <v>45996</v>
      </c>
      <c r="B567" s="427" t="s">
        <v>387</v>
      </c>
      <c r="C567" s="189" t="s">
        <v>388</v>
      </c>
      <c r="D567" s="190"/>
      <c r="E567" s="400">
        <v>4259313</v>
      </c>
      <c r="F567" s="203">
        <v>4259313</v>
      </c>
      <c r="G567" s="200">
        <f t="shared" si="8"/>
        <v>-2158560.33</v>
      </c>
      <c r="H567" s="192"/>
    </row>
    <row r="568" spans="1:8">
      <c r="A568" s="188">
        <v>45996</v>
      </c>
      <c r="B568" s="427" t="s">
        <v>387</v>
      </c>
      <c r="C568" s="189" t="s">
        <v>389</v>
      </c>
      <c r="D568" s="190"/>
      <c r="E568" s="400">
        <v>346833</v>
      </c>
      <c r="F568" s="203">
        <v>346833</v>
      </c>
      <c r="G568" s="200">
        <f t="shared" si="8"/>
        <v>-1811727.33</v>
      </c>
      <c r="H568" s="192"/>
    </row>
    <row r="569" spans="1:8">
      <c r="A569" s="188">
        <v>45996</v>
      </c>
      <c r="B569" s="427" t="s">
        <v>387</v>
      </c>
      <c r="C569" s="189" t="s">
        <v>390</v>
      </c>
      <c r="D569" s="190"/>
      <c r="E569" s="400">
        <v>40000</v>
      </c>
      <c r="F569" s="203">
        <v>40000</v>
      </c>
      <c r="G569" s="200">
        <f t="shared" si="8"/>
        <v>-1771727.33</v>
      </c>
      <c r="H569" s="192"/>
    </row>
    <row r="570" spans="1:8">
      <c r="A570" s="188">
        <v>46004</v>
      </c>
      <c r="B570" s="427" t="s">
        <v>384</v>
      </c>
      <c r="C570" s="189" t="s">
        <v>391</v>
      </c>
      <c r="D570" s="190"/>
      <c r="E570" s="400">
        <v>266081.7</v>
      </c>
      <c r="F570" s="204">
        <v>267000</v>
      </c>
      <c r="G570" s="200">
        <f t="shared" si="8"/>
        <v>-1505645.6300000001</v>
      </c>
      <c r="H570" s="192"/>
    </row>
    <row r="571" spans="1:8">
      <c r="A571" s="188">
        <v>45996</v>
      </c>
      <c r="B571" s="427" t="s">
        <v>392</v>
      </c>
      <c r="C571" s="189" t="s">
        <v>393</v>
      </c>
      <c r="D571" s="190"/>
      <c r="E571" s="401">
        <v>150000</v>
      </c>
      <c r="F571" s="203">
        <v>150000</v>
      </c>
      <c r="G571" s="200">
        <f t="shared" si="8"/>
        <v>-1355645.6300000001</v>
      </c>
      <c r="H571" s="192"/>
    </row>
    <row r="572" spans="1:8">
      <c r="A572" s="188">
        <v>45999</v>
      </c>
      <c r="B572" s="427" t="s">
        <v>385</v>
      </c>
      <c r="C572" s="189" t="s">
        <v>394</v>
      </c>
      <c r="D572" s="190"/>
      <c r="E572" s="400">
        <v>200000</v>
      </c>
      <c r="F572" s="207">
        <v>200000</v>
      </c>
      <c r="G572" s="200">
        <f t="shared" si="8"/>
        <v>-1155645.6300000001</v>
      </c>
      <c r="H572" s="192"/>
    </row>
    <row r="573" spans="1:8">
      <c r="A573" s="188">
        <v>45999</v>
      </c>
      <c r="B573" s="427" t="s">
        <v>384</v>
      </c>
      <c r="C573" s="189" t="s">
        <v>406</v>
      </c>
      <c r="D573" s="190"/>
      <c r="E573" s="400">
        <v>225000</v>
      </c>
      <c r="F573" s="207">
        <v>225000</v>
      </c>
      <c r="G573" s="200">
        <f t="shared" si="8"/>
        <v>-930645.63000000012</v>
      </c>
      <c r="H573" s="192"/>
    </row>
    <row r="574" spans="1:8">
      <c r="A574" s="188">
        <v>45999</v>
      </c>
      <c r="B574" s="427" t="s">
        <v>385</v>
      </c>
      <c r="C574" s="189" t="s">
        <v>395</v>
      </c>
      <c r="D574" s="190"/>
      <c r="E574" s="400">
        <v>180000</v>
      </c>
      <c r="F574" s="207">
        <v>180000</v>
      </c>
      <c r="G574" s="200">
        <f t="shared" si="8"/>
        <v>-750645.63000000012</v>
      </c>
      <c r="H574" s="192"/>
    </row>
    <row r="575" spans="1:8">
      <c r="A575" s="188">
        <v>46003</v>
      </c>
      <c r="B575" s="427" t="s">
        <v>392</v>
      </c>
      <c r="C575" s="189" t="s">
        <v>396</v>
      </c>
      <c r="D575" s="190"/>
      <c r="E575" s="401">
        <v>264244</v>
      </c>
      <c r="F575" s="204">
        <v>264244</v>
      </c>
      <c r="G575" s="200">
        <f t="shared" si="8"/>
        <v>-486401.63000000012</v>
      </c>
      <c r="H575" s="192"/>
    </row>
    <row r="576" spans="1:8">
      <c r="A576" s="188">
        <v>46003</v>
      </c>
      <c r="B576" s="427" t="s">
        <v>385</v>
      </c>
      <c r="C576" s="189" t="s">
        <v>399</v>
      </c>
      <c r="D576" s="190"/>
      <c r="E576" s="392">
        <v>0</v>
      </c>
      <c r="F576" s="191">
        <v>220000</v>
      </c>
      <c r="G576" s="200">
        <f t="shared" si="8"/>
        <v>-486401.63000000012</v>
      </c>
      <c r="H576" s="192"/>
    </row>
    <row r="577" spans="1:8">
      <c r="A577" s="188">
        <v>46003</v>
      </c>
      <c r="B577" s="431" t="s">
        <v>392</v>
      </c>
      <c r="C577" s="206" t="s">
        <v>397</v>
      </c>
      <c r="D577" s="190"/>
      <c r="E577" s="392">
        <v>0</v>
      </c>
      <c r="F577" s="191">
        <v>179750</v>
      </c>
      <c r="G577" s="200">
        <f t="shared" si="8"/>
        <v>-486401.63000000012</v>
      </c>
      <c r="H577" s="192"/>
    </row>
    <row r="578" spans="1:8">
      <c r="A578" s="188">
        <v>45996</v>
      </c>
      <c r="B578" s="427" t="s">
        <v>392</v>
      </c>
      <c r="C578" s="189" t="s">
        <v>405</v>
      </c>
      <c r="D578" s="190"/>
      <c r="E578" s="392">
        <v>49880</v>
      </c>
      <c r="F578" s="191">
        <v>49880</v>
      </c>
      <c r="G578" s="200">
        <f t="shared" si="8"/>
        <v>-436521.63000000012</v>
      </c>
      <c r="H578" s="192"/>
    </row>
    <row r="579" spans="1:8">
      <c r="A579" s="188">
        <v>45999</v>
      </c>
      <c r="B579" s="427" t="s">
        <v>380</v>
      </c>
      <c r="C579" s="189" t="s">
        <v>379</v>
      </c>
      <c r="D579" s="190"/>
      <c r="E579" s="392">
        <v>0</v>
      </c>
      <c r="F579" s="201"/>
      <c r="G579" s="200">
        <f t="shared" si="8"/>
        <v>-436521.63000000012</v>
      </c>
      <c r="H579" s="191">
        <v>1866920</v>
      </c>
    </row>
    <row r="580" spans="1:8">
      <c r="A580" s="188">
        <v>45999</v>
      </c>
      <c r="B580" s="427" t="s">
        <v>402</v>
      </c>
      <c r="C580" s="189" t="s">
        <v>403</v>
      </c>
      <c r="D580" s="190"/>
      <c r="E580" s="392">
        <v>17450</v>
      </c>
      <c r="F580" s="201">
        <v>20000</v>
      </c>
      <c r="G580" s="200">
        <f t="shared" si="8"/>
        <v>-419071.63000000012</v>
      </c>
      <c r="H580" s="192"/>
    </row>
    <row r="581" spans="1:8">
      <c r="A581" s="188"/>
      <c r="B581" s="427" t="s">
        <v>371</v>
      </c>
      <c r="C581" s="189" t="s">
        <v>412</v>
      </c>
      <c r="D581" s="190"/>
      <c r="E581" s="392">
        <v>61000</v>
      </c>
      <c r="F581" s="201"/>
      <c r="G581" s="200">
        <f t="shared" si="8"/>
        <v>-358071.63000000012</v>
      </c>
      <c r="H581" s="192"/>
    </row>
    <row r="582" spans="1:8">
      <c r="A582" s="188"/>
      <c r="B582" s="427" t="s">
        <v>371</v>
      </c>
      <c r="C582" s="189" t="s">
        <v>413</v>
      </c>
      <c r="D582" s="190"/>
      <c r="E582" s="392">
        <v>5000</v>
      </c>
      <c r="F582" s="201"/>
      <c r="G582" s="200">
        <f t="shared" si="8"/>
        <v>-353071.63000000012</v>
      </c>
      <c r="H582" s="192"/>
    </row>
    <row r="583" spans="1:8">
      <c r="A583" s="188"/>
      <c r="B583" s="427" t="s">
        <v>371</v>
      </c>
      <c r="C583" s="189" t="s">
        <v>414</v>
      </c>
      <c r="D583" s="190"/>
      <c r="E583" s="392">
        <v>25700</v>
      </c>
      <c r="F583" s="201"/>
      <c r="G583" s="200">
        <f t="shared" si="8"/>
        <v>-327371.63000000012</v>
      </c>
      <c r="H583" s="192"/>
    </row>
    <row r="584" spans="1:8">
      <c r="A584" s="188"/>
      <c r="B584" s="427" t="s">
        <v>371</v>
      </c>
      <c r="C584" s="189" t="s">
        <v>415</v>
      </c>
      <c r="D584" s="190"/>
      <c r="E584" s="392">
        <v>18000</v>
      </c>
      <c r="F584" s="201"/>
      <c r="G584" s="200">
        <f t="shared" si="8"/>
        <v>-309371.63000000012</v>
      </c>
      <c r="H584" s="192"/>
    </row>
    <row r="585" spans="1:8">
      <c r="A585" s="188"/>
      <c r="B585" s="427" t="s">
        <v>371</v>
      </c>
      <c r="C585" s="189"/>
      <c r="D585" s="190"/>
      <c r="E585" s="392">
        <v>0</v>
      </c>
      <c r="F585" s="201"/>
      <c r="G585" s="200">
        <f t="shared" si="8"/>
        <v>-309371.63000000012</v>
      </c>
      <c r="H585" s="192"/>
    </row>
    <row r="586" spans="1:8">
      <c r="A586" s="188"/>
      <c r="B586" s="427" t="s">
        <v>371</v>
      </c>
      <c r="C586" s="189"/>
      <c r="D586" s="190"/>
      <c r="E586" s="392">
        <v>0</v>
      </c>
      <c r="F586" s="201"/>
      <c r="G586" s="200">
        <f t="shared" si="8"/>
        <v>-309371.63000000012</v>
      </c>
      <c r="H586" s="192"/>
    </row>
    <row r="587" spans="1:8">
      <c r="A587" s="188"/>
      <c r="B587" s="427" t="s">
        <v>371</v>
      </c>
      <c r="C587" s="189"/>
      <c r="D587" s="190"/>
      <c r="E587" s="392">
        <v>0</v>
      </c>
      <c r="F587" s="201"/>
      <c r="G587" s="200">
        <f t="shared" si="8"/>
        <v>-309371.63000000012</v>
      </c>
      <c r="H587" s="192"/>
    </row>
    <row r="588" spans="1:8">
      <c r="A588" s="188"/>
      <c r="B588" s="427" t="s">
        <v>371</v>
      </c>
      <c r="C588" s="189"/>
      <c r="D588" s="190"/>
      <c r="E588" s="392">
        <v>0</v>
      </c>
      <c r="F588" s="201"/>
      <c r="G588" s="200">
        <f t="shared" si="8"/>
        <v>-309371.63000000012</v>
      </c>
      <c r="H588" s="192"/>
    </row>
    <row r="589" spans="1:8">
      <c r="A589" s="188"/>
      <c r="B589" s="427" t="s">
        <v>371</v>
      </c>
      <c r="C589" s="189"/>
      <c r="D589" s="190"/>
      <c r="E589" s="392">
        <v>0</v>
      </c>
      <c r="F589" s="201"/>
      <c r="G589" s="200">
        <f t="shared" si="8"/>
        <v>-309371.63000000012</v>
      </c>
      <c r="H589" s="192"/>
    </row>
    <row r="590" spans="1:8" ht="13.5" customHeight="1">
      <c r="A590" s="193"/>
      <c r="B590" s="430"/>
      <c r="C590" s="194"/>
      <c r="D590" s="195" t="s">
        <v>372</v>
      </c>
      <c r="E590" s="394" t="s">
        <v>373</v>
      </c>
      <c r="F590" s="202"/>
      <c r="G590" s="195" t="s">
        <v>226</v>
      </c>
      <c r="H590" s="196"/>
    </row>
    <row r="591" spans="1:8" ht="26.25" customHeight="1">
      <c r="A591" s="197"/>
      <c r="D591" s="198">
        <f>SUM(D556:D590)</f>
        <v>8833919.3300000001</v>
      </c>
      <c r="E591" s="391">
        <f>SUM(E556:E590)</f>
        <v>8524547.6999999993</v>
      </c>
      <c r="F591" s="198">
        <f>SUM(F556:F589)</f>
        <v>8818066</v>
      </c>
      <c r="G591" s="198">
        <f>D591-E591</f>
        <v>309371.63000000082</v>
      </c>
    </row>
  </sheetData>
  <autoFilter ref="A206:J268" xr:uid="{0AF811F8-15FA-4CE7-9248-4AD74DCCD703}">
    <sortState xmlns:xlrd2="http://schemas.microsoft.com/office/spreadsheetml/2017/richdata2" ref="A207:J268">
      <sortCondition ref="A206:A268"/>
    </sortState>
  </autoFilter>
  <sortState xmlns:xlrd2="http://schemas.microsoft.com/office/spreadsheetml/2017/richdata2" ref="A4:J79">
    <sortCondition ref="A3:A79"/>
  </sortState>
  <conditionalFormatting sqref="C4:D80">
    <cfRule type="containsText" dxfId="30" priority="2" operator="containsText" text="ÖDEME">
      <formula>NOT(ISERROR(SEARCH("ÖDEME",C4)))</formula>
    </cfRule>
  </conditionalFormatting>
  <conditionalFormatting sqref="C87:D156 D157 C158:D179 C207:D270">
    <cfRule type="containsText" dxfId="29" priority="28" operator="containsText" text="ÖDEME">
      <formula>NOT(ISERROR(SEARCH("ÖDEME",C87)))</formula>
    </cfRule>
  </conditionalFormatting>
  <conditionalFormatting sqref="C272:D281">
    <cfRule type="containsText" dxfId="28" priority="15" operator="containsText" text="ÖDEME">
      <formula>NOT(ISERROR(SEARCH("ÖDEME",C272)))</formula>
    </cfRule>
  </conditionalFormatting>
  <conditionalFormatting sqref="C283:D339 C409:D445">
    <cfRule type="containsText" dxfId="27" priority="57" operator="containsText" text="ÖDEME">
      <formula>NOT(ISERROR(SEARCH("ÖDEME",C283)))</formula>
    </cfRule>
  </conditionalFormatting>
  <conditionalFormatting sqref="C341:D343">
    <cfRule type="containsText" dxfId="26" priority="16" operator="containsText" text="ÖDEME">
      <formula>NOT(ISERROR(SEARCH("ÖDEME",C341)))</formula>
    </cfRule>
  </conditionalFormatting>
  <conditionalFormatting sqref="C345:D354 D355 C356:D407">
    <cfRule type="containsText" dxfId="25" priority="19" operator="containsText" text="ÖDEME">
      <formula>NOT(ISERROR(SEARCH("ÖDEME",C345)))</formula>
    </cfRule>
  </conditionalFormatting>
  <conditionalFormatting sqref="C447:D447">
    <cfRule type="containsText" dxfId="24" priority="58" operator="containsText" text="ÖDEME">
      <formula>NOT(ISERROR(SEARCH("ÖDEME",C447)))</formula>
    </cfRule>
  </conditionalFormatting>
  <conditionalFormatting sqref="C449:D485">
    <cfRule type="containsText" dxfId="23" priority="59" operator="containsText" text="ÖDEME">
      <formula>NOT(ISERROR(SEARCH("ÖDEME",C449)))</formula>
    </cfRule>
  </conditionalFormatting>
  <conditionalFormatting sqref="C487:D487">
    <cfRule type="containsText" dxfId="22" priority="60" operator="containsText" text="ÖDEME">
      <formula>NOT(ISERROR(SEARCH("ÖDEME",C487)))</formula>
    </cfRule>
  </conditionalFormatting>
  <conditionalFormatting sqref="C489:D516">
    <cfRule type="containsText" dxfId="21" priority="61" operator="containsText" text="ÖDEME">
      <formula>NOT(ISERROR(SEARCH("ÖDEME",C489)))</formula>
    </cfRule>
  </conditionalFormatting>
  <conditionalFormatting sqref="C518:D519">
    <cfRule type="containsText" dxfId="20" priority="62" operator="containsText" text="ÖDEME">
      <formula>NOT(ISERROR(SEARCH("ÖDEME",C518)))</formula>
    </cfRule>
  </conditionalFormatting>
  <conditionalFormatting sqref="C521:D548">
    <cfRule type="containsText" dxfId="19" priority="63" operator="containsText" text="ÖDEME">
      <formula>NOT(ISERROR(SEARCH("ÖDEME",C521)))</formula>
    </cfRule>
  </conditionalFormatting>
  <conditionalFormatting sqref="C550:D554">
    <cfRule type="containsText" dxfId="18" priority="69" operator="containsText" text="ÖDEME">
      <formula>NOT(ISERROR(SEARCH("ÖDEME",C550)))</formula>
    </cfRule>
  </conditionalFormatting>
  <conditionalFormatting sqref="C556:D589">
    <cfRule type="containsText" dxfId="17" priority="66" operator="containsText" text="ÖDEME">
      <formula>NOT(ISERROR(SEARCH("ÖDEME",C556)))</formula>
    </cfRule>
  </conditionalFormatting>
  <conditionalFormatting sqref="C591:D591">
    <cfRule type="containsText" dxfId="16" priority="67" operator="containsText" text="ÖDEME">
      <formula>NOT(ISERROR(SEARCH("ÖDEME",C591)))</formula>
    </cfRule>
  </conditionalFormatting>
  <conditionalFormatting sqref="D5:D77">
    <cfRule type="containsText" dxfId="15" priority="1" operator="containsText" text="ÖDEME">
      <formula>NOT(ISERROR(SEARCH("ÖDEME",D5)))</formula>
    </cfRule>
  </conditionalFormatting>
  <conditionalFormatting sqref="D208:D266">
    <cfRule type="containsText" dxfId="14" priority="12" operator="containsText" text="ÖDEME">
      <formula>NOT(ISERROR(SEARCH("ÖDEME",D208)))</formula>
    </cfRule>
  </conditionalFormatting>
  <conditionalFormatting sqref="D282">
    <cfRule type="containsText" dxfId="13" priority="17" operator="containsText" text="ÖDEME">
      <formula>NOT(ISERROR(SEARCH("ÖDEME",D282)))</formula>
    </cfRule>
  </conditionalFormatting>
  <conditionalFormatting sqref="G78:G80">
    <cfRule type="cellIs" dxfId="12" priority="4" operator="lessThan">
      <formula>0</formula>
    </cfRule>
  </conditionalFormatting>
  <conditionalFormatting sqref="G178:G179">
    <cfRule type="cellIs" dxfId="11" priority="9" operator="lessThan">
      <formula>0</formula>
    </cfRule>
  </conditionalFormatting>
  <conditionalFormatting sqref="G267:G270">
    <cfRule type="cellIs" dxfId="10" priority="32" operator="lessThan">
      <formula>0</formula>
    </cfRule>
  </conditionalFormatting>
  <conditionalFormatting sqref="G404:G445">
    <cfRule type="cellIs" dxfId="9" priority="18" operator="lessThan">
      <formula>0</formula>
    </cfRule>
  </conditionalFormatting>
  <conditionalFormatting sqref="J3">
    <cfRule type="cellIs" dxfId="8" priority="3" operator="lessThan">
      <formula>0</formula>
    </cfRule>
  </conditionalFormatting>
  <conditionalFormatting sqref="J44">
    <cfRule type="cellIs" dxfId="7" priority="5" operator="lessThan">
      <formula>0</formula>
    </cfRule>
  </conditionalFormatting>
  <conditionalFormatting sqref="J86">
    <cfRule type="cellIs" dxfId="6" priority="8" operator="lessThan">
      <formula>0</formula>
    </cfRule>
  </conditionalFormatting>
  <conditionalFormatting sqref="J109">
    <cfRule type="cellIs" dxfId="5" priority="10" operator="lessThan">
      <formula>0</formula>
    </cfRule>
  </conditionalFormatting>
  <conditionalFormatting sqref="J206">
    <cfRule type="cellIs" dxfId="4" priority="29" operator="lessThan">
      <formula>0</formula>
    </cfRule>
  </conditionalFormatting>
  <conditionalFormatting sqref="J247">
    <cfRule type="cellIs" dxfId="3" priority="33" operator="lessThan">
      <formula>0</formula>
    </cfRule>
  </conditionalFormatting>
  <conditionalFormatting sqref="J271">
    <cfRule type="cellIs" dxfId="2" priority="22" operator="lessThan">
      <formula>0</formula>
    </cfRule>
  </conditionalFormatting>
  <conditionalFormatting sqref="J346">
    <cfRule type="cellIs" dxfId="1" priority="26" operator="lessThan">
      <formula>0</formula>
    </cfRule>
  </conditionalFormatting>
  <pageMargins left="0.7" right="0.7" top="0.75" bottom="0.75" header="0.3" footer="0.3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0D7-625E-4BE2-B114-2FED82C42AC9}">
  <sheetPr>
    <tabColor theme="9"/>
  </sheetPr>
  <dimension ref="A1:O11"/>
  <sheetViews>
    <sheetView showGridLines="0" workbookViewId="0">
      <selection activeCell="G17" sqref="G17"/>
    </sheetView>
  </sheetViews>
  <sheetFormatPr baseColWidth="10" defaultColWidth="8.6640625" defaultRowHeight="15" customHeight="1" outlineLevelCol="1"/>
  <cols>
    <col min="1" max="1" width="17.6640625" style="1" customWidth="1"/>
    <col min="2" max="2" width="19.5" style="1" customWidth="1"/>
    <col min="3" max="3" width="21" style="1" customWidth="1"/>
    <col min="4" max="4" width="17.1640625" style="1" customWidth="1" outlineLevel="1"/>
    <col min="5" max="6" width="15.5" style="1" customWidth="1" outlineLevel="1"/>
    <col min="7" max="7" width="15.33203125" style="1" customWidth="1" outlineLevel="1"/>
    <col min="8" max="8" width="17" style="1" customWidth="1" outlineLevel="1"/>
    <col min="9" max="9" width="15.5" style="1" customWidth="1" outlineLevel="1"/>
    <col min="10" max="11" width="15.33203125" style="1" customWidth="1" outlineLevel="1"/>
    <col min="12" max="13" width="14.33203125" style="1" customWidth="1" outlineLevel="1"/>
    <col min="14" max="14" width="16.33203125" style="1" customWidth="1" outlineLevel="1"/>
    <col min="15" max="15" width="8.6640625" style="1" customWidth="1" outlineLevel="1"/>
    <col min="16" max="16384" width="8.6640625" style="1"/>
  </cols>
  <sheetData>
    <row r="1" spans="1:14" ht="13.5" customHeight="1">
      <c r="A1" s="27"/>
      <c r="B1" s="27"/>
      <c r="C1" s="27"/>
    </row>
    <row r="2" spans="1:14" s="228" customFormat="1" ht="15" customHeight="1">
      <c r="A2" s="224"/>
      <c r="B2" s="225">
        <v>2026</v>
      </c>
      <c r="C2" s="225">
        <v>2026</v>
      </c>
      <c r="D2" s="225">
        <v>2026</v>
      </c>
      <c r="E2" s="225">
        <v>2026</v>
      </c>
      <c r="F2" s="225">
        <v>2026</v>
      </c>
      <c r="G2" s="225">
        <v>2026</v>
      </c>
      <c r="H2" s="225">
        <v>2026</v>
      </c>
      <c r="I2" s="225">
        <v>2026</v>
      </c>
      <c r="J2" s="225">
        <v>2026</v>
      </c>
      <c r="K2" s="225">
        <v>2026</v>
      </c>
      <c r="L2" s="225">
        <v>2026</v>
      </c>
      <c r="M2" s="226">
        <v>2026</v>
      </c>
      <c r="N2" s="227" t="s">
        <v>610</v>
      </c>
    </row>
    <row r="3" spans="1:14" ht="15" customHeight="1">
      <c r="A3" s="24" t="s">
        <v>30</v>
      </c>
      <c r="B3" s="223" t="s">
        <v>44</v>
      </c>
      <c r="C3" s="223" t="s">
        <v>46</v>
      </c>
      <c r="D3" s="223" t="s">
        <v>48</v>
      </c>
      <c r="E3" s="223" t="s">
        <v>95</v>
      </c>
      <c r="F3" s="223" t="s">
        <v>96</v>
      </c>
      <c r="G3" s="223" t="s">
        <v>34</v>
      </c>
      <c r="H3" s="223" t="s">
        <v>8</v>
      </c>
      <c r="I3" s="223" t="s">
        <v>9</v>
      </c>
      <c r="J3" s="223" t="s">
        <v>10</v>
      </c>
      <c r="K3" s="223" t="s">
        <v>11</v>
      </c>
      <c r="L3" s="223" t="s">
        <v>12</v>
      </c>
      <c r="M3" s="223" t="s">
        <v>42</v>
      </c>
      <c r="N3" s="27"/>
    </row>
    <row r="4" spans="1:14" ht="34">
      <c r="A4" s="222" t="s">
        <v>606</v>
      </c>
      <c r="B4" s="172">
        <v>0</v>
      </c>
      <c r="C4" s="172">
        <v>1000000</v>
      </c>
      <c r="D4" s="172">
        <v>1000000</v>
      </c>
      <c r="E4" s="172">
        <v>1000000</v>
      </c>
      <c r="F4" s="172">
        <v>1000000</v>
      </c>
      <c r="G4" s="172">
        <v>1000000</v>
      </c>
      <c r="H4" s="172">
        <v>1000000</v>
      </c>
      <c r="I4" s="172">
        <v>1000000</v>
      </c>
      <c r="J4" s="172">
        <v>0</v>
      </c>
      <c r="K4" s="172">
        <v>0</v>
      </c>
      <c r="L4" s="172">
        <v>0</v>
      </c>
      <c r="M4" s="172">
        <v>0</v>
      </c>
      <c r="N4" s="229">
        <f t="shared" ref="N4:N6" si="0">SUM(B4:M4)</f>
        <v>7000000</v>
      </c>
    </row>
    <row r="5" spans="1:14" ht="34">
      <c r="A5" s="222" t="s">
        <v>607</v>
      </c>
      <c r="B5" s="172">
        <f>Extra!I34</f>
        <v>0</v>
      </c>
      <c r="C5" s="172">
        <f>Durum!F4</f>
        <v>0</v>
      </c>
      <c r="D5" s="172">
        <f>Durum!F5</f>
        <v>0</v>
      </c>
      <c r="E5" s="172">
        <f>Durum!F6</f>
        <v>3300000</v>
      </c>
      <c r="F5" s="172">
        <f>Durum!F7</f>
        <v>3300000</v>
      </c>
      <c r="G5" s="172">
        <f>Durum!IF8</f>
        <v>0</v>
      </c>
      <c r="H5" s="172">
        <f>Extra!O34</f>
        <v>0</v>
      </c>
      <c r="I5" s="172">
        <f>Extra!P34</f>
        <v>0</v>
      </c>
      <c r="J5" s="172">
        <f>Extra!Q34</f>
        <v>0</v>
      </c>
      <c r="K5" s="172">
        <f>Extra!R34</f>
        <v>0</v>
      </c>
      <c r="L5" s="172">
        <f>Extra!S34</f>
        <v>0</v>
      </c>
      <c r="M5" s="172">
        <f>Extra!T34</f>
        <v>0</v>
      </c>
      <c r="N5" s="229">
        <f t="shared" si="0"/>
        <v>6600000</v>
      </c>
    </row>
    <row r="6" spans="1:14" ht="51">
      <c r="A6" s="222" t="s">
        <v>609</v>
      </c>
      <c r="B6" s="172">
        <v>0</v>
      </c>
      <c r="C6" s="172">
        <v>6500000</v>
      </c>
      <c r="D6" s="172">
        <v>6500000</v>
      </c>
      <c r="E6" s="172">
        <v>6500000</v>
      </c>
      <c r="F6" s="172">
        <v>6500000</v>
      </c>
      <c r="G6" s="172">
        <v>6500000</v>
      </c>
      <c r="H6" s="172">
        <v>6500000</v>
      </c>
      <c r="I6" s="172">
        <v>6500000</v>
      </c>
      <c r="J6" s="172">
        <v>6500000</v>
      </c>
      <c r="K6" s="172">
        <v>6500000</v>
      </c>
      <c r="L6" s="172">
        <v>6500000</v>
      </c>
      <c r="M6" s="172">
        <v>6500000</v>
      </c>
      <c r="N6" s="229">
        <f t="shared" si="0"/>
        <v>71500000</v>
      </c>
    </row>
    <row r="7" spans="1:14" ht="17">
      <c r="A7" s="222" t="s">
        <v>608</v>
      </c>
      <c r="B7" s="230">
        <f>Krediler!N15+'Krediler (2)'!N6</f>
        <v>0</v>
      </c>
      <c r="C7" s="230">
        <f>Krediler!N16+'Krediler (2)'!N7</f>
        <v>0.5</v>
      </c>
      <c r="D7" s="230">
        <f>Krediler!N17+'Krediler (2)'!N8</f>
        <v>0</v>
      </c>
      <c r="E7" s="230">
        <f>Krediler!N18+'Krediler (2)'!N9</f>
        <v>2424259.7200000002</v>
      </c>
      <c r="F7" s="230">
        <f>Krediler!N19+'Krediler (2)'!N10</f>
        <v>2690341.42</v>
      </c>
      <c r="G7" s="230">
        <f>Krediler!N20+'Krediler (2)'!N11</f>
        <v>2690341.42</v>
      </c>
      <c r="H7" s="230">
        <f>Krediler!N21+'Krediler (2)'!N12</f>
        <v>2690341.42</v>
      </c>
      <c r="I7" s="230">
        <f>Krediler!N22+'Krediler (2)'!N13</f>
        <v>2690341.42</v>
      </c>
      <c r="J7" s="230">
        <f>Krediler!N23+'Krediler (2)'!N14</f>
        <v>2690341.42</v>
      </c>
      <c r="K7" s="230">
        <f>Krediler!N24+'Krediler (2)'!N15</f>
        <v>2424259.7200000002</v>
      </c>
      <c r="L7" s="230">
        <f>Krediler!N25+'Krediler (2)'!N16</f>
        <v>1340000.23</v>
      </c>
      <c r="M7" s="230">
        <f>Krediler!N26+'Krediler (2)'!N17</f>
        <v>0</v>
      </c>
      <c r="N7" s="229">
        <f>SUM(B7:M7)</f>
        <v>19640227.27</v>
      </c>
    </row>
    <row r="8" spans="1:14" ht="17">
      <c r="A8" s="221" t="s">
        <v>233</v>
      </c>
      <c r="B8" s="230" t="e">
        <f>Çekler!#REF!</f>
        <v>#REF!</v>
      </c>
      <c r="C8" s="230" t="e">
        <f>Çekler!#REF!</f>
        <v>#REF!</v>
      </c>
      <c r="D8" s="230" t="e">
        <f>Çekler!#REF!</f>
        <v>#REF!</v>
      </c>
      <c r="E8" s="230" t="e">
        <f>Çekler!#REF!</f>
        <v>#REF!</v>
      </c>
      <c r="F8" s="230" t="e">
        <f>Çekler!#REF!</f>
        <v>#REF!</v>
      </c>
      <c r="G8" s="230" t="e">
        <f>Çekler!#REF!</f>
        <v>#REF!</v>
      </c>
      <c r="H8" s="230" t="e">
        <f>Çekler!#REF!</f>
        <v>#REF!</v>
      </c>
      <c r="I8" s="230" t="e">
        <f>Çekler!#REF!</f>
        <v>#REF!</v>
      </c>
      <c r="J8" s="230" t="e">
        <f>Çekler!#REF!</f>
        <v>#REF!</v>
      </c>
      <c r="K8" s="230" t="e">
        <f>Çekler!#REF!</f>
        <v>#REF!</v>
      </c>
      <c r="L8" s="230" t="e">
        <f>Çekler!#REF!</f>
        <v>#REF!</v>
      </c>
      <c r="M8" s="230" t="e">
        <f>Çekler!#REF!</f>
        <v>#REF!</v>
      </c>
      <c r="N8" s="229" t="e">
        <f>SUM(B8:M8)</f>
        <v>#REF!</v>
      </c>
    </row>
    <row r="9" spans="1:14" ht="34">
      <c r="A9" s="221" t="s">
        <v>234</v>
      </c>
      <c r="B9" s="172" t="e">
        <f t="shared" ref="B9:M9" si="1">SUM(B4:B8)</f>
        <v>#REF!</v>
      </c>
      <c r="C9" s="172" t="e">
        <f t="shared" si="1"/>
        <v>#REF!</v>
      </c>
      <c r="D9" s="172" t="e">
        <f t="shared" si="1"/>
        <v>#REF!</v>
      </c>
      <c r="E9" s="172" t="e">
        <f t="shared" si="1"/>
        <v>#REF!</v>
      </c>
      <c r="F9" s="172" t="e">
        <f t="shared" si="1"/>
        <v>#REF!</v>
      </c>
      <c r="G9" s="172" t="e">
        <f t="shared" si="1"/>
        <v>#REF!</v>
      </c>
      <c r="H9" s="172" t="e">
        <f t="shared" si="1"/>
        <v>#REF!</v>
      </c>
      <c r="I9" s="172" t="e">
        <f t="shared" si="1"/>
        <v>#REF!</v>
      </c>
      <c r="J9" s="172" t="e">
        <f t="shared" si="1"/>
        <v>#REF!</v>
      </c>
      <c r="K9" s="172" t="e">
        <f t="shared" si="1"/>
        <v>#REF!</v>
      </c>
      <c r="L9" s="172" t="e">
        <f t="shared" si="1"/>
        <v>#REF!</v>
      </c>
      <c r="M9" s="172" t="e">
        <f t="shared" si="1"/>
        <v>#REF!</v>
      </c>
      <c r="N9" s="229" t="e">
        <f>SUM(B9:M9)</f>
        <v>#REF!</v>
      </c>
    </row>
    <row r="10" spans="1:14"/>
    <row r="11" spans="1:14"/>
  </sheetData>
  <conditionalFormatting sqref="B4:M6 M7 B8:M9">
    <cfRule type="cellIs" dxfId="0" priority="1" operator="lessThan">
      <formula>1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  <ignoredErrors>
    <ignoredError sqref="B8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157F-CFD0-463B-9786-67E7B91E5F47}">
  <sheetPr>
    <tabColor theme="7"/>
  </sheetPr>
  <dimension ref="A1:H15"/>
  <sheetViews>
    <sheetView showGridLines="0" workbookViewId="0">
      <selection activeCell="H3" sqref="H3"/>
    </sheetView>
  </sheetViews>
  <sheetFormatPr baseColWidth="10" defaultColWidth="8.6640625" defaultRowHeight="15" customHeight="1"/>
  <cols>
    <col min="1" max="1" width="17.6640625" style="1" customWidth="1"/>
    <col min="2" max="2" width="16.5" style="1" customWidth="1"/>
    <col min="3" max="4" width="15.6640625" style="1" customWidth="1"/>
    <col min="5" max="6" width="15.5" style="1" customWidth="1"/>
    <col min="7" max="7" width="15.33203125" style="1" bestFit="1" customWidth="1"/>
    <col min="8" max="8" width="19.33203125" style="1" customWidth="1"/>
    <col min="9" max="9" width="15.5" style="1" customWidth="1"/>
    <col min="10" max="11" width="15.33203125" style="1" bestFit="1" customWidth="1"/>
    <col min="12" max="13" width="14.33203125" style="1" bestFit="1" customWidth="1"/>
    <col min="14" max="14" width="16.33203125" style="1" bestFit="1" customWidth="1"/>
    <col min="15" max="16384" width="8.6640625" style="1"/>
  </cols>
  <sheetData>
    <row r="1" spans="1:8"/>
    <row r="2" spans="1:8" s="235" customFormat="1" ht="45">
      <c r="B2" s="234" t="str">
        <f>Durum!E2</f>
        <v>Altan Verilecek</v>
      </c>
      <c r="C2" s="234" t="str">
        <f>Durum!F2</f>
        <v>Extra Ödeme Nakit</v>
      </c>
      <c r="D2" s="234" t="str">
        <f>Durum!G2</f>
        <v>Nakit İşçilik Dahil</v>
      </c>
      <c r="E2" s="234" t="str">
        <f>Durum!H2</f>
        <v>Krediler Kesintiler Toplam</v>
      </c>
      <c r="F2" s="234" t="str">
        <f>Durum!I2</f>
        <v>Çek Ödeme</v>
      </c>
      <c r="G2" s="234" t="str">
        <f>Durum!J2</f>
        <v>Nakit Ödemeler Toplamı</v>
      </c>
      <c r="H2" s="234" t="str">
        <f>Durum!L2</f>
        <v>Durum</v>
      </c>
    </row>
    <row r="3" spans="1:8" ht="15" customHeight="1">
      <c r="A3" s="232" t="s">
        <v>44</v>
      </c>
      <c r="B3" s="231">
        <f>Durum!E3</f>
        <v>0</v>
      </c>
      <c r="C3" s="231">
        <f>Durum!F3</f>
        <v>0</v>
      </c>
      <c r="D3" s="231">
        <f>Durum!G3</f>
        <v>0</v>
      </c>
      <c r="E3" s="231">
        <f>Durum!H3</f>
        <v>0</v>
      </c>
      <c r="F3" s="231">
        <f>Durum!I3</f>
        <v>0</v>
      </c>
      <c r="G3" s="231">
        <f>Durum!J3</f>
        <v>0</v>
      </c>
      <c r="H3" s="236">
        <f>Durum!L3</f>
        <v>0</v>
      </c>
    </row>
    <row r="4" spans="1:8" ht="15" customHeight="1">
      <c r="A4" s="232" t="s">
        <v>46</v>
      </c>
      <c r="B4" s="231">
        <f>Durum!E4</f>
        <v>1000000</v>
      </c>
      <c r="C4" s="231">
        <f>Durum!F4</f>
        <v>0</v>
      </c>
      <c r="D4" s="231">
        <f>Durum!G4</f>
        <v>6500000</v>
      </c>
      <c r="E4" s="231">
        <f>Durum!H4</f>
        <v>0.5</v>
      </c>
      <c r="F4" s="231">
        <f>Durum!I4</f>
        <v>0</v>
      </c>
      <c r="G4" s="231">
        <f>Durum!J4</f>
        <v>7500000.5</v>
      </c>
      <c r="H4" s="236">
        <f>Durum!L4</f>
        <v>-7500000.5</v>
      </c>
    </row>
    <row r="5" spans="1:8" ht="15" customHeight="1">
      <c r="A5" s="232" t="s">
        <v>48</v>
      </c>
      <c r="B5" s="231">
        <f>Durum!E5</f>
        <v>1000000</v>
      </c>
      <c r="C5" s="231">
        <f>Durum!F5</f>
        <v>0</v>
      </c>
      <c r="D5" s="231">
        <f>Durum!G5</f>
        <v>6500000</v>
      </c>
      <c r="E5" s="231">
        <f>Durum!H5</f>
        <v>0</v>
      </c>
      <c r="F5" s="231">
        <f>Durum!I5</f>
        <v>699686.04</v>
      </c>
      <c r="G5" s="231">
        <f>Durum!J5</f>
        <v>8199686.04</v>
      </c>
      <c r="H5" s="236">
        <f>Durum!L5</f>
        <v>-8199686.04</v>
      </c>
    </row>
    <row r="6" spans="1:8" ht="15" customHeight="1">
      <c r="A6" s="232" t="s">
        <v>95</v>
      </c>
      <c r="B6" s="231">
        <f>Durum!E6</f>
        <v>1000000</v>
      </c>
      <c r="C6" s="231">
        <f>Durum!F6</f>
        <v>3300000</v>
      </c>
      <c r="D6" s="231">
        <f>Durum!G6</f>
        <v>6500000</v>
      </c>
      <c r="E6" s="231">
        <f>Durum!H6</f>
        <v>2424259.7200000002</v>
      </c>
      <c r="F6" s="231">
        <f>Durum!I6</f>
        <v>777180</v>
      </c>
      <c r="G6" s="231">
        <f>Durum!J6</f>
        <v>14001439.720000001</v>
      </c>
      <c r="H6" s="236">
        <f>Durum!L6</f>
        <v>-14001439.720000001</v>
      </c>
    </row>
    <row r="7" spans="1:8" ht="15" customHeight="1">
      <c r="A7" s="232" t="s">
        <v>96</v>
      </c>
      <c r="B7" s="231">
        <f>Durum!E7</f>
        <v>1000000</v>
      </c>
      <c r="C7" s="231">
        <f>Durum!F7</f>
        <v>3300000</v>
      </c>
      <c r="D7" s="231">
        <f>Durum!G7</f>
        <v>6500000</v>
      </c>
      <c r="E7" s="231">
        <f>Durum!H7</f>
        <v>2690341.42</v>
      </c>
      <c r="F7" s="231">
        <f>Durum!I7</f>
        <v>685349.24</v>
      </c>
      <c r="G7" s="231">
        <f>Durum!J7</f>
        <v>14175690.66</v>
      </c>
      <c r="H7" s="236">
        <f>Durum!L7</f>
        <v>-14175690.66</v>
      </c>
    </row>
    <row r="8" spans="1:8" ht="15" customHeight="1">
      <c r="A8" s="232" t="s">
        <v>34</v>
      </c>
      <c r="B8" s="231">
        <f>Durum!E8</f>
        <v>1000000</v>
      </c>
      <c r="C8" s="231">
        <f>Durum!F8</f>
        <v>0</v>
      </c>
      <c r="D8" s="231">
        <f>Durum!G8</f>
        <v>6500000</v>
      </c>
      <c r="E8" s="231">
        <f>Durum!H8</f>
        <v>2690341.42</v>
      </c>
      <c r="F8" s="231">
        <f>Durum!I8</f>
        <v>757571</v>
      </c>
      <c r="G8" s="231">
        <f>Durum!J8</f>
        <v>10947912.42</v>
      </c>
      <c r="H8" s="236">
        <f>Durum!L8</f>
        <v>-10947912.42</v>
      </c>
    </row>
    <row r="9" spans="1:8" ht="15" customHeight="1">
      <c r="A9" s="232" t="s">
        <v>8</v>
      </c>
      <c r="B9" s="231">
        <f>Durum!E9</f>
        <v>1000000</v>
      </c>
      <c r="C9" s="231">
        <f>Durum!F9</f>
        <v>0</v>
      </c>
      <c r="D9" s="231">
        <f>Durum!G9</f>
        <v>6500000</v>
      </c>
      <c r="E9" s="231">
        <f>Durum!H9</f>
        <v>2690341.42</v>
      </c>
      <c r="F9" s="231">
        <f>Durum!I9</f>
        <v>657799.42000000004</v>
      </c>
      <c r="G9" s="231">
        <f>Durum!J9</f>
        <v>10848140.84</v>
      </c>
      <c r="H9" s="236">
        <f>Durum!L9</f>
        <v>-10848140.84</v>
      </c>
    </row>
    <row r="10" spans="1:8" ht="15" customHeight="1">
      <c r="A10" s="232" t="s">
        <v>9</v>
      </c>
      <c r="B10" s="231">
        <f>Durum!E10</f>
        <v>1000000</v>
      </c>
      <c r="C10" s="231">
        <f>Durum!F10</f>
        <v>0</v>
      </c>
      <c r="D10" s="231">
        <f>Durum!G10</f>
        <v>6500000</v>
      </c>
      <c r="E10" s="231">
        <f>Durum!H10</f>
        <v>2690341.42</v>
      </c>
      <c r="F10" s="231">
        <f>Durum!I10</f>
        <v>700000</v>
      </c>
      <c r="G10" s="231">
        <f>Durum!J10</f>
        <v>10890341.42</v>
      </c>
      <c r="H10" s="236">
        <f>Durum!L10</f>
        <v>-10890341.42</v>
      </c>
    </row>
    <row r="11" spans="1:8" ht="15" customHeight="1">
      <c r="A11" s="232" t="s">
        <v>10</v>
      </c>
      <c r="B11" s="231">
        <f>Durum!E11</f>
        <v>0</v>
      </c>
      <c r="C11" s="231">
        <f>Durum!F11</f>
        <v>0</v>
      </c>
      <c r="D11" s="231">
        <f>Durum!G11</f>
        <v>6500000</v>
      </c>
      <c r="E11" s="231">
        <f>Durum!H11</f>
        <v>2690341.42</v>
      </c>
      <c r="F11" s="231">
        <f>Durum!I11</f>
        <v>500000</v>
      </c>
      <c r="G11" s="231">
        <f>Durum!J11</f>
        <v>9690341.4199999999</v>
      </c>
      <c r="H11" s="236">
        <f>Durum!L11</f>
        <v>-9690341.4199999999</v>
      </c>
    </row>
    <row r="12" spans="1:8" ht="15" customHeight="1">
      <c r="A12" s="232" t="s">
        <v>11</v>
      </c>
      <c r="B12" s="231">
        <f>Durum!E12</f>
        <v>0</v>
      </c>
      <c r="C12" s="231">
        <f>Durum!F12</f>
        <v>0</v>
      </c>
      <c r="D12" s="231">
        <f>Durum!G12</f>
        <v>6500000</v>
      </c>
      <c r="E12" s="231">
        <f>Durum!H12</f>
        <v>2424259.7200000002</v>
      </c>
      <c r="F12" s="231">
        <f>Durum!I12</f>
        <v>250000</v>
      </c>
      <c r="G12" s="231">
        <f>Durum!J12</f>
        <v>9174259.7200000007</v>
      </c>
      <c r="H12" s="236">
        <f>Durum!L12</f>
        <v>-9174259.7200000007</v>
      </c>
    </row>
    <row r="13" spans="1:8" ht="15" customHeight="1">
      <c r="A13" s="232" t="s">
        <v>12</v>
      </c>
      <c r="B13" s="231">
        <f>Durum!E13</f>
        <v>0</v>
      </c>
      <c r="C13" s="231">
        <f>Durum!F13</f>
        <v>0</v>
      </c>
      <c r="D13" s="231">
        <f>Durum!G13</f>
        <v>6500000</v>
      </c>
      <c r="E13" s="231">
        <f>Durum!H13</f>
        <v>1340000.23</v>
      </c>
      <c r="F13" s="231">
        <f>Durum!I13</f>
        <v>0</v>
      </c>
      <c r="G13" s="231">
        <f>Durum!J13</f>
        <v>7840000.2300000004</v>
      </c>
      <c r="H13" s="236">
        <f>Durum!L13</f>
        <v>-7840000.2300000004</v>
      </c>
    </row>
    <row r="14" spans="1:8" ht="15" customHeight="1">
      <c r="A14" s="232" t="s">
        <v>42</v>
      </c>
      <c r="B14" s="231">
        <f>Durum!E14</f>
        <v>0</v>
      </c>
      <c r="C14" s="231">
        <f>Durum!F14</f>
        <v>0</v>
      </c>
      <c r="D14" s="231">
        <f>Durum!G14</f>
        <v>6500000</v>
      </c>
      <c r="E14" s="231">
        <f>Durum!H14</f>
        <v>0</v>
      </c>
      <c r="F14" s="231">
        <f>Durum!I14</f>
        <v>0</v>
      </c>
      <c r="G14" s="231">
        <f>Durum!J14</f>
        <v>6500000</v>
      </c>
      <c r="H14" s="236">
        <f>Durum!L14</f>
        <v>-6500000</v>
      </c>
    </row>
    <row r="15" spans="1:8" ht="15" customHeight="1">
      <c r="A15" s="233"/>
    </row>
  </sheetData>
  <phoneticPr fontId="14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"/>
  <sheetViews>
    <sheetView showGridLines="0" workbookViewId="0">
      <selection activeCell="E11" sqref="E11"/>
    </sheetView>
  </sheetViews>
  <sheetFormatPr baseColWidth="10" defaultColWidth="8.6640625" defaultRowHeight="15" customHeight="1"/>
  <cols>
    <col min="1" max="1" width="5" style="1" customWidth="1"/>
    <col min="2" max="2" width="16.5" style="1" customWidth="1"/>
    <col min="3" max="3" width="17.33203125" style="1" customWidth="1"/>
    <col min="4" max="4" width="16.6640625" style="1" customWidth="1"/>
    <col min="5" max="6" width="15.6640625" style="1" customWidth="1"/>
    <col min="7" max="7" width="15.5" style="1" customWidth="1"/>
    <col min="8" max="8" width="23.33203125" style="1" bestFit="1" customWidth="1"/>
    <col min="9" max="9" width="21.6640625" style="1" bestFit="1" customWidth="1"/>
    <col min="10" max="10" width="24.83203125" style="1" bestFit="1" customWidth="1"/>
    <col min="11" max="12" width="15.5" style="1" customWidth="1"/>
    <col min="13" max="13" width="8.6640625" style="1" customWidth="1"/>
    <col min="14" max="16384" width="8.6640625" style="1"/>
  </cols>
  <sheetData>
    <row r="1" spans="1:12" ht="13.5" customHeight="1">
      <c r="A1" s="27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47.25" customHeight="1">
      <c r="A2" s="30"/>
      <c r="B2" s="24" t="s">
        <v>30</v>
      </c>
      <c r="C2" s="24" t="s">
        <v>227</v>
      </c>
      <c r="D2" s="24" t="s">
        <v>228</v>
      </c>
      <c r="E2" s="95" t="s">
        <v>229</v>
      </c>
      <c r="F2" s="95" t="s">
        <v>230</v>
      </c>
      <c r="G2" s="95" t="s">
        <v>231</v>
      </c>
      <c r="H2" s="95" t="s">
        <v>232</v>
      </c>
      <c r="I2" s="95" t="s">
        <v>233</v>
      </c>
      <c r="J2" s="95" t="s">
        <v>234</v>
      </c>
      <c r="K2" s="95" t="s">
        <v>235</v>
      </c>
      <c r="L2" s="24" t="s">
        <v>226</v>
      </c>
    </row>
    <row r="3" spans="1:12" ht="13.5" customHeight="1">
      <c r="A3" s="177">
        <v>2026</v>
      </c>
      <c r="B3" s="37" t="s">
        <v>44</v>
      </c>
      <c r="C3" s="40">
        <v>0</v>
      </c>
      <c r="D3" s="40">
        <v>0</v>
      </c>
      <c r="E3" s="39">
        <v>0</v>
      </c>
      <c r="F3" s="39">
        <f>Extra!M10</f>
        <v>0</v>
      </c>
      <c r="G3" s="39">
        <v>0</v>
      </c>
      <c r="H3" s="34">
        <f>Krediler!N15+'Krediler (2)'!N6</f>
        <v>0</v>
      </c>
      <c r="I3" s="34">
        <f>Çekler!L5</f>
        <v>0</v>
      </c>
      <c r="J3" s="96">
        <f t="shared" ref="J3:J14" si="0">SUM(E3:I3)</f>
        <v>0</v>
      </c>
      <c r="K3" s="39">
        <v>1200000</v>
      </c>
      <c r="L3" s="41">
        <f t="shared" ref="L3:L14" si="1">D3-J3</f>
        <v>0</v>
      </c>
    </row>
    <row r="4" spans="1:12" ht="13.5" customHeight="1">
      <c r="A4" s="177">
        <v>2026</v>
      </c>
      <c r="B4" s="37" t="s">
        <v>46</v>
      </c>
      <c r="C4" s="40">
        <v>0</v>
      </c>
      <c r="D4" s="40">
        <v>0</v>
      </c>
      <c r="E4" s="39">
        <v>1000000</v>
      </c>
      <c r="F4" s="39">
        <f>Extra!M11</f>
        <v>0</v>
      </c>
      <c r="G4" s="39">
        <v>6500000</v>
      </c>
      <c r="H4" s="34">
        <f>'Krediler (2)'!N7</f>
        <v>0.5</v>
      </c>
      <c r="I4" s="34">
        <f>Çekler!L6</f>
        <v>0</v>
      </c>
      <c r="J4" s="96">
        <f t="shared" si="0"/>
        <v>7500000.5</v>
      </c>
      <c r="K4" s="39">
        <v>1200000</v>
      </c>
      <c r="L4" s="41">
        <f t="shared" si="1"/>
        <v>-7500000.5</v>
      </c>
    </row>
    <row r="5" spans="1:12" ht="13.5" customHeight="1">
      <c r="A5" s="177">
        <v>2026</v>
      </c>
      <c r="B5" s="37" t="s">
        <v>48</v>
      </c>
      <c r="C5" s="40">
        <v>0</v>
      </c>
      <c r="D5" s="40">
        <v>0</v>
      </c>
      <c r="E5" s="39">
        <v>1000000</v>
      </c>
      <c r="F5" s="39">
        <f>Extra!M12</f>
        <v>0</v>
      </c>
      <c r="G5" s="39">
        <v>6500000</v>
      </c>
      <c r="H5" s="34">
        <f>'Krediler (2)'!N8</f>
        <v>0</v>
      </c>
      <c r="I5" s="34">
        <f>Çekler!L7</f>
        <v>699686.04</v>
      </c>
      <c r="J5" s="96">
        <f t="shared" si="0"/>
        <v>8199686.04</v>
      </c>
      <c r="K5" s="39">
        <v>1200000</v>
      </c>
      <c r="L5" s="41">
        <f t="shared" si="1"/>
        <v>-8199686.04</v>
      </c>
    </row>
    <row r="6" spans="1:12" ht="13.5" customHeight="1">
      <c r="A6" s="177">
        <v>2026</v>
      </c>
      <c r="B6" s="37" t="s">
        <v>95</v>
      </c>
      <c r="C6" s="40">
        <v>0</v>
      </c>
      <c r="D6" s="40">
        <v>0</v>
      </c>
      <c r="E6" s="39">
        <v>1000000</v>
      </c>
      <c r="F6" s="39">
        <f>Extra!M13</f>
        <v>3300000</v>
      </c>
      <c r="G6" s="39">
        <v>6500000</v>
      </c>
      <c r="H6" s="34">
        <f>'Krediler (2)'!N9</f>
        <v>2424259.7200000002</v>
      </c>
      <c r="I6" s="34">
        <f>Çekler!L8</f>
        <v>777180</v>
      </c>
      <c r="J6" s="96">
        <f t="shared" si="0"/>
        <v>14001439.720000001</v>
      </c>
      <c r="K6" s="39">
        <v>1200000</v>
      </c>
      <c r="L6" s="41">
        <f t="shared" si="1"/>
        <v>-14001439.720000001</v>
      </c>
    </row>
    <row r="7" spans="1:12" ht="13.5" customHeight="1">
      <c r="A7" s="177">
        <v>2026</v>
      </c>
      <c r="B7" s="37" t="s">
        <v>96</v>
      </c>
      <c r="C7" s="40">
        <v>0</v>
      </c>
      <c r="D7" s="40">
        <v>0</v>
      </c>
      <c r="E7" s="39">
        <v>1000000</v>
      </c>
      <c r="F7" s="39">
        <f>Extra!M14</f>
        <v>3300000</v>
      </c>
      <c r="G7" s="39">
        <v>6500000</v>
      </c>
      <c r="H7" s="34">
        <f>'Krediler (2)'!N10</f>
        <v>2690341.42</v>
      </c>
      <c r="I7" s="34">
        <f>Çekler!L9</f>
        <v>685349.24</v>
      </c>
      <c r="J7" s="96">
        <f t="shared" si="0"/>
        <v>14175690.66</v>
      </c>
      <c r="K7" s="39">
        <v>1200000</v>
      </c>
      <c r="L7" s="41">
        <f t="shared" si="1"/>
        <v>-14175690.66</v>
      </c>
    </row>
    <row r="8" spans="1:12" ht="13.5" customHeight="1">
      <c r="A8" s="177">
        <v>2026</v>
      </c>
      <c r="B8" s="37" t="s">
        <v>34</v>
      </c>
      <c r="C8" s="40">
        <v>0</v>
      </c>
      <c r="D8" s="40">
        <v>0</v>
      </c>
      <c r="E8" s="39">
        <v>1000000</v>
      </c>
      <c r="F8" s="39">
        <f>Extra!M15</f>
        <v>0</v>
      </c>
      <c r="G8" s="39">
        <v>6500000</v>
      </c>
      <c r="H8" s="34">
        <f>'Krediler (2)'!N11</f>
        <v>2690341.42</v>
      </c>
      <c r="I8" s="34">
        <f>Çekler!L10</f>
        <v>757571</v>
      </c>
      <c r="J8" s="96">
        <f t="shared" si="0"/>
        <v>10947912.42</v>
      </c>
      <c r="K8" s="39">
        <v>1200000</v>
      </c>
      <c r="L8" s="41">
        <f t="shared" si="1"/>
        <v>-10947912.42</v>
      </c>
    </row>
    <row r="9" spans="1:12" ht="13.5" customHeight="1">
      <c r="A9" s="177">
        <v>2026</v>
      </c>
      <c r="B9" s="37" t="s">
        <v>8</v>
      </c>
      <c r="C9" s="40">
        <v>0</v>
      </c>
      <c r="D9" s="40">
        <v>0</v>
      </c>
      <c r="E9" s="39">
        <v>1000000</v>
      </c>
      <c r="F9" s="39">
        <f>Extra!M16</f>
        <v>0</v>
      </c>
      <c r="G9" s="39">
        <v>6500000</v>
      </c>
      <c r="H9" s="34">
        <f>'Krediler (2)'!N12</f>
        <v>2690341.42</v>
      </c>
      <c r="I9" s="34">
        <f>Çekler!L11</f>
        <v>657799.42000000004</v>
      </c>
      <c r="J9" s="96">
        <f t="shared" si="0"/>
        <v>10848140.84</v>
      </c>
      <c r="K9" s="39">
        <v>1200000</v>
      </c>
      <c r="L9" s="41">
        <f t="shared" si="1"/>
        <v>-10848140.84</v>
      </c>
    </row>
    <row r="10" spans="1:12" ht="13.5" customHeight="1">
      <c r="A10" s="177">
        <v>2026</v>
      </c>
      <c r="B10" s="37" t="s">
        <v>9</v>
      </c>
      <c r="C10" s="40">
        <v>0</v>
      </c>
      <c r="D10" s="40">
        <v>0</v>
      </c>
      <c r="E10" s="39">
        <v>1000000</v>
      </c>
      <c r="F10" s="39">
        <f>Extra!M17</f>
        <v>0</v>
      </c>
      <c r="G10" s="39">
        <v>6500000</v>
      </c>
      <c r="H10" s="34">
        <f>'Krediler (2)'!N13</f>
        <v>2690341.42</v>
      </c>
      <c r="I10" s="34">
        <f>Çekler!L12</f>
        <v>700000</v>
      </c>
      <c r="J10" s="96">
        <f t="shared" si="0"/>
        <v>10890341.42</v>
      </c>
      <c r="K10" s="39">
        <v>1200000</v>
      </c>
      <c r="L10" s="41">
        <f t="shared" si="1"/>
        <v>-10890341.42</v>
      </c>
    </row>
    <row r="11" spans="1:12" ht="13.5" customHeight="1">
      <c r="A11" s="35">
        <v>2026</v>
      </c>
      <c r="B11" s="37" t="s">
        <v>10</v>
      </c>
      <c r="C11" s="40">
        <v>0</v>
      </c>
      <c r="D11" s="40">
        <v>0</v>
      </c>
      <c r="E11" s="39">
        <v>0</v>
      </c>
      <c r="F11" s="39">
        <f>Extra!M18</f>
        <v>0</v>
      </c>
      <c r="G11" s="39">
        <v>6500000</v>
      </c>
      <c r="H11" s="34">
        <f>'Krediler (2)'!N14</f>
        <v>2690341.42</v>
      </c>
      <c r="I11" s="34">
        <f>Çekler!L13</f>
        <v>500000</v>
      </c>
      <c r="J11" s="96">
        <f t="shared" si="0"/>
        <v>9690341.4199999999</v>
      </c>
      <c r="K11" s="39">
        <v>1200000</v>
      </c>
      <c r="L11" s="41">
        <f t="shared" si="1"/>
        <v>-9690341.4199999999</v>
      </c>
    </row>
    <row r="12" spans="1:12" ht="13.5" customHeight="1">
      <c r="A12" s="35">
        <v>2026</v>
      </c>
      <c r="B12" s="37" t="s">
        <v>11</v>
      </c>
      <c r="C12" s="40">
        <v>0</v>
      </c>
      <c r="D12" s="40">
        <v>0</v>
      </c>
      <c r="E12" s="39">
        <v>0</v>
      </c>
      <c r="F12" s="39">
        <f>Extra!M19</f>
        <v>0</v>
      </c>
      <c r="G12" s="39">
        <v>6500000</v>
      </c>
      <c r="H12" s="34">
        <f>'Krediler (2)'!N15</f>
        <v>2424259.7200000002</v>
      </c>
      <c r="I12" s="34">
        <f>Çekler!L14</f>
        <v>250000</v>
      </c>
      <c r="J12" s="96">
        <f t="shared" si="0"/>
        <v>9174259.7200000007</v>
      </c>
      <c r="K12" s="39">
        <v>1200000</v>
      </c>
      <c r="L12" s="41">
        <f t="shared" si="1"/>
        <v>-9174259.7200000007</v>
      </c>
    </row>
    <row r="13" spans="1:12" ht="13.5" customHeight="1">
      <c r="A13" s="35">
        <v>2026</v>
      </c>
      <c r="B13" s="37" t="s">
        <v>12</v>
      </c>
      <c r="C13" s="40">
        <v>0</v>
      </c>
      <c r="D13" s="40">
        <v>0</v>
      </c>
      <c r="E13" s="39">
        <v>0</v>
      </c>
      <c r="F13" s="39">
        <f>Extra!M20</f>
        <v>0</v>
      </c>
      <c r="G13" s="39">
        <v>6500000</v>
      </c>
      <c r="H13" s="34">
        <f>'Krediler (2)'!N16</f>
        <v>1340000.23</v>
      </c>
      <c r="I13" s="34">
        <f>Çekler!L15</f>
        <v>0</v>
      </c>
      <c r="J13" s="96">
        <f t="shared" si="0"/>
        <v>7840000.2300000004</v>
      </c>
      <c r="K13" s="39">
        <v>1200000</v>
      </c>
      <c r="L13" s="41">
        <f t="shared" si="1"/>
        <v>-7840000.2300000004</v>
      </c>
    </row>
    <row r="14" spans="1:12" ht="13.5" customHeight="1">
      <c r="A14" s="35">
        <v>2026</v>
      </c>
      <c r="B14" s="37" t="s">
        <v>42</v>
      </c>
      <c r="C14" s="40">
        <v>0</v>
      </c>
      <c r="D14" s="40">
        <v>0</v>
      </c>
      <c r="E14" s="39">
        <v>0</v>
      </c>
      <c r="F14" s="39">
        <f>Extra!M21</f>
        <v>0</v>
      </c>
      <c r="G14" s="39">
        <v>6500000</v>
      </c>
      <c r="H14" s="34">
        <f>'Krediler (2)'!N17</f>
        <v>0</v>
      </c>
      <c r="I14" s="34">
        <f>Çekler!L16</f>
        <v>0</v>
      </c>
      <c r="J14" s="96">
        <f t="shared" si="0"/>
        <v>6500000</v>
      </c>
      <c r="K14" s="39">
        <v>1200000</v>
      </c>
      <c r="L14" s="41">
        <f t="shared" si="1"/>
        <v>-6500000</v>
      </c>
    </row>
    <row r="15" spans="1:12" ht="13.5" customHeight="1">
      <c r="A15" s="27"/>
      <c r="B15" s="27"/>
      <c r="C15" s="40"/>
      <c r="D15" s="40"/>
      <c r="E15" s="27"/>
    </row>
    <row r="16" spans="1:12" ht="24.75" customHeight="1">
      <c r="A16" s="27"/>
      <c r="B16" s="27"/>
      <c r="C16" s="40">
        <f>SUBTOTAL(9,C3:C15)</f>
        <v>0</v>
      </c>
      <c r="D16" s="40">
        <f>SUBTOTAL(9,D3:D15)</f>
        <v>0</v>
      </c>
      <c r="E16" s="27"/>
      <c r="G16" s="370"/>
      <c r="H16" s="371">
        <f>SUM(H3:H15)</f>
        <v>19640227.27</v>
      </c>
      <c r="I16" s="371">
        <f>SUM(I3:I15)</f>
        <v>5027585.7</v>
      </c>
      <c r="J16" s="371">
        <f>SUM(J3:J15)</f>
        <v>109767812.97000001</v>
      </c>
    </row>
    <row r="17" spans="1:5" ht="13.5" customHeight="1">
      <c r="A17" s="27"/>
      <c r="B17" s="27"/>
      <c r="C17" s="40"/>
      <c r="D17" s="40"/>
      <c r="E17" s="27"/>
    </row>
  </sheetData>
  <phoneticPr fontId="14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9"/>
  <sheetViews>
    <sheetView showGridLines="0" topLeftCell="A36" workbookViewId="0">
      <selection activeCell="I43" sqref="I43:I44"/>
    </sheetView>
  </sheetViews>
  <sheetFormatPr baseColWidth="10" defaultColWidth="8.6640625" defaultRowHeight="15" customHeight="1"/>
  <cols>
    <col min="1" max="1" width="7.6640625" style="1" customWidth="1"/>
    <col min="2" max="2" width="41.1640625" style="1" customWidth="1"/>
    <col min="3" max="3" width="7" style="1" customWidth="1"/>
    <col min="4" max="4" width="14.5" style="1" customWidth="1"/>
    <col min="5" max="5" width="14" style="1" customWidth="1"/>
    <col min="6" max="6" width="10.6640625" style="1" customWidth="1"/>
    <col min="7" max="7" width="12.5" style="1" customWidth="1"/>
    <col min="8" max="8" width="5.5" style="1" customWidth="1"/>
    <col min="9" max="9" width="14.5" style="1" customWidth="1"/>
    <col min="10" max="10" width="8.6640625" style="1" customWidth="1"/>
    <col min="11" max="11" width="14.5" style="1" customWidth="1"/>
    <col min="12" max="13" width="8.6640625" style="1" customWidth="1"/>
    <col min="14" max="16384" width="8.6640625" style="1"/>
  </cols>
  <sheetData>
    <row r="1" spans="1:12" ht="13.5" customHeight="1">
      <c r="A1" s="66" t="s">
        <v>97</v>
      </c>
      <c r="B1" s="67" t="s">
        <v>98</v>
      </c>
      <c r="C1" s="67" t="s">
        <v>99</v>
      </c>
      <c r="D1" s="67" t="s">
        <v>28</v>
      </c>
      <c r="E1" s="67" t="s">
        <v>100</v>
      </c>
      <c r="F1" s="67" t="s">
        <v>101</v>
      </c>
      <c r="G1" s="67" t="s">
        <v>102</v>
      </c>
      <c r="H1" s="67" t="s">
        <v>22</v>
      </c>
      <c r="I1" s="67" t="s">
        <v>103</v>
      </c>
      <c r="J1" s="46"/>
      <c r="K1" s="27"/>
      <c r="L1" s="27"/>
    </row>
    <row r="2" spans="1:12" ht="13.5" customHeight="1">
      <c r="A2" s="68" t="s">
        <v>104</v>
      </c>
      <c r="B2" s="68" t="s">
        <v>105</v>
      </c>
      <c r="C2" s="69">
        <v>1</v>
      </c>
      <c r="D2" s="70">
        <v>350000</v>
      </c>
      <c r="E2" s="70">
        <v>32614.31</v>
      </c>
      <c r="F2" s="70">
        <v>0</v>
      </c>
      <c r="G2" s="70">
        <v>0</v>
      </c>
      <c r="H2" s="68" t="s">
        <v>106</v>
      </c>
      <c r="I2" s="70">
        <f t="shared" ref="I2:I12" si="0">D2+E2</f>
        <v>382614.31</v>
      </c>
      <c r="J2" s="27"/>
      <c r="K2" s="27"/>
      <c r="L2" s="27"/>
    </row>
    <row r="3" spans="1:12" ht="13.5" customHeight="1">
      <c r="A3" s="37" t="s">
        <v>107</v>
      </c>
      <c r="B3" s="37" t="s">
        <v>108</v>
      </c>
      <c r="C3" s="35">
        <v>3</v>
      </c>
      <c r="D3" s="41">
        <v>10032.31</v>
      </c>
      <c r="E3" s="41">
        <v>0</v>
      </c>
      <c r="F3" s="41">
        <v>0</v>
      </c>
      <c r="G3" s="41">
        <v>0</v>
      </c>
      <c r="H3" s="37" t="s">
        <v>106</v>
      </c>
      <c r="I3" s="41">
        <f t="shared" si="0"/>
        <v>10032.31</v>
      </c>
      <c r="J3" s="27"/>
      <c r="K3" s="27"/>
      <c r="L3" s="27"/>
    </row>
    <row r="4" spans="1:12" ht="13.5" customHeight="1">
      <c r="A4" s="37" t="s">
        <v>109</v>
      </c>
      <c r="B4" s="37" t="s">
        <v>110</v>
      </c>
      <c r="C4" s="35">
        <v>1</v>
      </c>
      <c r="D4" s="41">
        <v>3291.44</v>
      </c>
      <c r="E4" s="41">
        <v>658.29</v>
      </c>
      <c r="F4" s="41">
        <v>0</v>
      </c>
      <c r="G4" s="41">
        <v>0</v>
      </c>
      <c r="H4" s="37" t="s">
        <v>106</v>
      </c>
      <c r="I4" s="41">
        <f t="shared" si="0"/>
        <v>3949.73</v>
      </c>
      <c r="J4" s="27"/>
      <c r="K4" s="27"/>
      <c r="L4" s="27"/>
    </row>
    <row r="5" spans="1:12" ht="13.5" customHeight="1">
      <c r="A5" s="37" t="s">
        <v>111</v>
      </c>
      <c r="B5" s="37" t="s">
        <v>110</v>
      </c>
      <c r="C5" s="35">
        <v>2</v>
      </c>
      <c r="D5" s="41">
        <v>1059.3</v>
      </c>
      <c r="E5" s="41">
        <v>0</v>
      </c>
      <c r="F5" s="41">
        <v>0</v>
      </c>
      <c r="G5" s="41">
        <v>0</v>
      </c>
      <c r="H5" s="37" t="s">
        <v>106</v>
      </c>
      <c r="I5" s="41">
        <f t="shared" si="0"/>
        <v>1059.3</v>
      </c>
      <c r="J5" s="27"/>
      <c r="K5" s="27"/>
      <c r="L5" s="27"/>
    </row>
    <row r="6" spans="1:12" ht="13.5" customHeight="1">
      <c r="A6" s="37" t="s">
        <v>112</v>
      </c>
      <c r="B6" s="37" t="s">
        <v>113</v>
      </c>
      <c r="C6" s="35">
        <v>0</v>
      </c>
      <c r="D6" s="41">
        <v>429</v>
      </c>
      <c r="E6" s="41">
        <v>0</v>
      </c>
      <c r="F6" s="41">
        <v>0</v>
      </c>
      <c r="G6" s="41">
        <v>0</v>
      </c>
      <c r="H6" s="37" t="s">
        <v>106</v>
      </c>
      <c r="I6" s="41">
        <f t="shared" si="0"/>
        <v>429</v>
      </c>
      <c r="J6" s="27"/>
      <c r="K6" s="27"/>
      <c r="L6" s="27"/>
    </row>
    <row r="7" spans="1:12" ht="13.5" customHeight="1">
      <c r="A7" s="37" t="s">
        <v>114</v>
      </c>
      <c r="B7" s="37" t="s">
        <v>115</v>
      </c>
      <c r="C7" s="35">
        <v>0</v>
      </c>
      <c r="D7" s="41">
        <v>16250</v>
      </c>
      <c r="E7" s="41">
        <v>2478.81</v>
      </c>
      <c r="F7" s="41">
        <v>0</v>
      </c>
      <c r="G7" s="41">
        <v>0</v>
      </c>
      <c r="H7" s="37" t="s">
        <v>106</v>
      </c>
      <c r="I7" s="41">
        <f t="shared" si="0"/>
        <v>18728.810000000001</v>
      </c>
      <c r="J7" s="27"/>
      <c r="K7" s="27"/>
      <c r="L7" s="27"/>
    </row>
    <row r="8" spans="1:12" ht="13.5" customHeight="1">
      <c r="A8" s="37" t="s">
        <v>116</v>
      </c>
      <c r="B8" s="37" t="s">
        <v>117</v>
      </c>
      <c r="C8" s="35">
        <v>0</v>
      </c>
      <c r="D8" s="41">
        <v>12500</v>
      </c>
      <c r="E8" s="41">
        <v>1906.78</v>
      </c>
      <c r="F8" s="41">
        <v>0</v>
      </c>
      <c r="G8" s="41">
        <v>0</v>
      </c>
      <c r="H8" s="37" t="s">
        <v>106</v>
      </c>
      <c r="I8" s="41">
        <f t="shared" si="0"/>
        <v>14406.78</v>
      </c>
      <c r="J8" s="27"/>
      <c r="K8" s="27"/>
      <c r="L8" s="27"/>
    </row>
    <row r="9" spans="1:12" ht="13.5" customHeight="1">
      <c r="A9" s="37" t="s">
        <v>118</v>
      </c>
      <c r="B9" s="37" t="s">
        <v>119</v>
      </c>
      <c r="C9" s="35">
        <v>1</v>
      </c>
      <c r="D9" s="41">
        <v>6363.64</v>
      </c>
      <c r="E9" s="41">
        <v>636.36</v>
      </c>
      <c r="F9" s="41">
        <v>0</v>
      </c>
      <c r="G9" s="41">
        <v>0</v>
      </c>
      <c r="H9" s="37" t="s">
        <v>106</v>
      </c>
      <c r="I9" s="41">
        <f t="shared" si="0"/>
        <v>7000</v>
      </c>
      <c r="J9" s="27"/>
      <c r="K9" s="27"/>
      <c r="L9" s="27"/>
    </row>
    <row r="10" spans="1:12" ht="13.5" customHeight="1">
      <c r="A10" s="37" t="s">
        <v>120</v>
      </c>
      <c r="B10" s="37" t="s">
        <v>121</v>
      </c>
      <c r="C10" s="35">
        <v>1</v>
      </c>
      <c r="D10" s="41">
        <v>2250</v>
      </c>
      <c r="E10" s="41">
        <v>450</v>
      </c>
      <c r="F10" s="41">
        <v>0</v>
      </c>
      <c r="G10" s="41">
        <v>0</v>
      </c>
      <c r="H10" s="37" t="s">
        <v>106</v>
      </c>
      <c r="I10" s="41">
        <f t="shared" si="0"/>
        <v>2700</v>
      </c>
      <c r="J10" s="27"/>
      <c r="K10" s="27"/>
      <c r="L10" s="27"/>
    </row>
    <row r="11" spans="1:12" ht="13.5" customHeight="1">
      <c r="A11" s="37" t="s">
        <v>122</v>
      </c>
      <c r="B11" s="37" t="s">
        <v>123</v>
      </c>
      <c r="C11" s="35">
        <v>1</v>
      </c>
      <c r="D11" s="41">
        <v>1625</v>
      </c>
      <c r="E11" s="41">
        <v>325</v>
      </c>
      <c r="F11" s="41">
        <v>0</v>
      </c>
      <c r="G11" s="41">
        <v>0</v>
      </c>
      <c r="H11" s="37" t="s">
        <v>106</v>
      </c>
      <c r="I11" s="41">
        <f t="shared" si="0"/>
        <v>1950</v>
      </c>
      <c r="J11" s="27"/>
      <c r="K11" s="27"/>
      <c r="L11" s="27"/>
    </row>
    <row r="12" spans="1:12" ht="13.5" customHeight="1">
      <c r="A12" s="37" t="s">
        <v>124</v>
      </c>
      <c r="B12" s="37" t="s">
        <v>125</v>
      </c>
      <c r="C12" s="35">
        <v>1</v>
      </c>
      <c r="D12" s="41">
        <v>17382.599999999999</v>
      </c>
      <c r="E12" s="41">
        <v>3476.52</v>
      </c>
      <c r="F12" s="41">
        <v>0</v>
      </c>
      <c r="G12" s="41">
        <v>0</v>
      </c>
      <c r="H12" s="37" t="s">
        <v>106</v>
      </c>
      <c r="I12" s="41">
        <f t="shared" si="0"/>
        <v>20859.12</v>
      </c>
      <c r="J12" s="27"/>
      <c r="K12" s="27"/>
      <c r="L12" s="27"/>
    </row>
    <row r="13" spans="1:12" ht="13.5" customHeight="1">
      <c r="A13" s="27"/>
      <c r="B13" s="27"/>
      <c r="C13" s="27"/>
      <c r="D13" s="41"/>
      <c r="E13" s="41"/>
      <c r="F13" s="41"/>
      <c r="G13" s="41"/>
      <c r="H13" s="41"/>
      <c r="I13" s="41"/>
      <c r="J13" s="27"/>
      <c r="K13" s="27"/>
      <c r="L13" s="27"/>
    </row>
    <row r="14" spans="1:12" ht="13.5" customHeight="1">
      <c r="A14" s="37" t="s">
        <v>126</v>
      </c>
      <c r="B14" s="37" t="s">
        <v>127</v>
      </c>
      <c r="C14" s="35">
        <v>0</v>
      </c>
      <c r="D14" s="41">
        <v>1378.37</v>
      </c>
      <c r="E14" s="41">
        <v>0</v>
      </c>
      <c r="F14" s="41">
        <v>0</v>
      </c>
      <c r="G14" s="41">
        <v>0</v>
      </c>
      <c r="H14" s="37" t="s">
        <v>106</v>
      </c>
      <c r="I14" s="41">
        <f t="shared" ref="I14:I35" si="1">D14+E14</f>
        <v>1378.37</v>
      </c>
      <c r="J14" s="27"/>
      <c r="K14" s="27"/>
      <c r="L14" s="27"/>
    </row>
    <row r="15" spans="1:12" ht="13.5" customHeight="1">
      <c r="A15" s="37" t="s">
        <v>128</v>
      </c>
      <c r="B15" s="37" t="s">
        <v>129</v>
      </c>
      <c r="C15" s="35">
        <v>0</v>
      </c>
      <c r="D15" s="41">
        <v>50000</v>
      </c>
      <c r="E15" s="41">
        <v>0</v>
      </c>
      <c r="F15" s="41">
        <v>0</v>
      </c>
      <c r="G15" s="41">
        <v>0</v>
      </c>
      <c r="H15" s="37" t="s">
        <v>106</v>
      </c>
      <c r="I15" s="41">
        <f t="shared" si="1"/>
        <v>50000</v>
      </c>
      <c r="J15" s="27"/>
      <c r="K15" s="27"/>
      <c r="L15" s="27"/>
    </row>
    <row r="16" spans="1:12" ht="13.5" customHeight="1">
      <c r="A16" s="37" t="s">
        <v>130</v>
      </c>
      <c r="B16" s="37" t="s">
        <v>131</v>
      </c>
      <c r="C16" s="35">
        <v>0</v>
      </c>
      <c r="D16" s="41">
        <v>33594.33</v>
      </c>
      <c r="E16" s="41">
        <v>0</v>
      </c>
      <c r="F16" s="41">
        <v>0</v>
      </c>
      <c r="G16" s="41">
        <v>0</v>
      </c>
      <c r="H16" s="37" t="s">
        <v>106</v>
      </c>
      <c r="I16" s="41">
        <f t="shared" si="1"/>
        <v>33594.33</v>
      </c>
      <c r="J16" s="27"/>
      <c r="K16" s="27"/>
      <c r="L16" s="27"/>
    </row>
    <row r="17" spans="1:12" ht="13.5" customHeight="1">
      <c r="A17" s="37" t="s">
        <v>132</v>
      </c>
      <c r="B17" s="37" t="s">
        <v>133</v>
      </c>
      <c r="C17" s="35">
        <v>0</v>
      </c>
      <c r="D17" s="41">
        <v>2658.87</v>
      </c>
      <c r="E17" s="41">
        <v>0</v>
      </c>
      <c r="F17" s="41">
        <v>0</v>
      </c>
      <c r="G17" s="41">
        <v>0</v>
      </c>
      <c r="H17" s="37" t="s">
        <v>106</v>
      </c>
      <c r="I17" s="41">
        <f t="shared" si="1"/>
        <v>2658.87</v>
      </c>
      <c r="J17" s="27"/>
      <c r="K17" s="27"/>
      <c r="L17" s="27"/>
    </row>
    <row r="18" spans="1:12" ht="13.5" customHeight="1">
      <c r="A18" s="37" t="s">
        <v>134</v>
      </c>
      <c r="B18" s="37" t="s">
        <v>135</v>
      </c>
      <c r="C18" s="35">
        <v>7</v>
      </c>
      <c r="D18" s="41">
        <v>3500</v>
      </c>
      <c r="E18" s="41">
        <v>699.99</v>
      </c>
      <c r="F18" s="41">
        <v>0</v>
      </c>
      <c r="G18" s="41">
        <v>0</v>
      </c>
      <c r="H18" s="37" t="s">
        <v>106</v>
      </c>
      <c r="I18" s="41">
        <f t="shared" si="1"/>
        <v>4199.99</v>
      </c>
      <c r="J18" s="27"/>
      <c r="K18" s="27"/>
      <c r="L18" s="27"/>
    </row>
    <row r="19" spans="1:12" ht="13.5" customHeight="1">
      <c r="A19" s="37" t="s">
        <v>136</v>
      </c>
      <c r="B19" s="37" t="s">
        <v>137</v>
      </c>
      <c r="C19" s="35">
        <v>2</v>
      </c>
      <c r="D19" s="41">
        <v>10400</v>
      </c>
      <c r="E19" s="41">
        <v>1700</v>
      </c>
      <c r="F19" s="41">
        <v>0</v>
      </c>
      <c r="G19" s="41">
        <v>0</v>
      </c>
      <c r="H19" s="37" t="s">
        <v>106</v>
      </c>
      <c r="I19" s="41">
        <f t="shared" si="1"/>
        <v>12100</v>
      </c>
      <c r="J19" s="27"/>
      <c r="K19" s="27"/>
      <c r="L19" s="27"/>
    </row>
    <row r="20" spans="1:12" ht="13.5" customHeight="1">
      <c r="A20" s="37" t="s">
        <v>138</v>
      </c>
      <c r="B20" s="37" t="s">
        <v>139</v>
      </c>
      <c r="C20" s="35">
        <v>0</v>
      </c>
      <c r="D20" s="41">
        <v>3229</v>
      </c>
      <c r="E20" s="41">
        <v>0</v>
      </c>
      <c r="F20" s="41">
        <v>0</v>
      </c>
      <c r="G20" s="41">
        <v>0</v>
      </c>
      <c r="H20" s="37" t="s">
        <v>106</v>
      </c>
      <c r="I20" s="41">
        <f t="shared" si="1"/>
        <v>3229</v>
      </c>
      <c r="J20" s="27"/>
      <c r="K20" s="27"/>
      <c r="L20" s="27"/>
    </row>
    <row r="21" spans="1:12" ht="13.5" customHeight="1">
      <c r="A21" s="37" t="s">
        <v>140</v>
      </c>
      <c r="B21" s="37" t="s">
        <v>141</v>
      </c>
      <c r="C21" s="35">
        <v>2</v>
      </c>
      <c r="D21" s="41">
        <v>5208.33</v>
      </c>
      <c r="E21" s="41">
        <v>1041.67</v>
      </c>
      <c r="F21" s="41">
        <v>0</v>
      </c>
      <c r="G21" s="41">
        <v>0</v>
      </c>
      <c r="H21" s="37" t="s">
        <v>106</v>
      </c>
      <c r="I21" s="41">
        <f t="shared" si="1"/>
        <v>6250</v>
      </c>
      <c r="J21" s="27"/>
      <c r="K21" s="27"/>
      <c r="L21" s="27"/>
    </row>
    <row r="22" spans="1:12" ht="13.5" customHeight="1">
      <c r="A22" s="37" t="s">
        <v>142</v>
      </c>
      <c r="B22" s="37" t="s">
        <v>143</v>
      </c>
      <c r="C22" s="35">
        <v>2</v>
      </c>
      <c r="D22" s="41">
        <v>7623.64</v>
      </c>
      <c r="E22" s="41">
        <v>1524.73</v>
      </c>
      <c r="F22" s="41">
        <v>0</v>
      </c>
      <c r="G22" s="41">
        <v>0</v>
      </c>
      <c r="H22" s="37" t="s">
        <v>106</v>
      </c>
      <c r="I22" s="41">
        <f t="shared" si="1"/>
        <v>9148.3700000000008</v>
      </c>
      <c r="J22" s="27"/>
      <c r="K22" s="27"/>
      <c r="L22" s="27"/>
    </row>
    <row r="23" spans="1:12" ht="13.5" customHeight="1">
      <c r="A23" s="37" t="s">
        <v>144</v>
      </c>
      <c r="B23" s="37" t="s">
        <v>145</v>
      </c>
      <c r="C23" s="35">
        <v>2775</v>
      </c>
      <c r="D23" s="41">
        <v>450000</v>
      </c>
      <c r="E23" s="41">
        <v>0</v>
      </c>
      <c r="F23" s="41">
        <v>0</v>
      </c>
      <c r="G23" s="41">
        <v>0</v>
      </c>
      <c r="H23" s="37" t="s">
        <v>106</v>
      </c>
      <c r="I23" s="41">
        <f t="shared" si="1"/>
        <v>450000</v>
      </c>
      <c r="J23" s="37" t="s">
        <v>146</v>
      </c>
      <c r="K23" s="71">
        <v>45717</v>
      </c>
      <c r="L23" s="27"/>
    </row>
    <row r="24" spans="1:12" ht="13.5" customHeight="1">
      <c r="A24" s="37" t="s">
        <v>147</v>
      </c>
      <c r="B24" s="37" t="s">
        <v>148</v>
      </c>
      <c r="C24" s="35">
        <v>15</v>
      </c>
      <c r="D24" s="41">
        <v>72171.520000000004</v>
      </c>
      <c r="E24" s="41">
        <v>11518.92</v>
      </c>
      <c r="F24" s="41">
        <v>1820</v>
      </c>
      <c r="G24" s="41">
        <v>0</v>
      </c>
      <c r="H24" s="37" t="s">
        <v>106</v>
      </c>
      <c r="I24" s="41">
        <f t="shared" si="1"/>
        <v>83690.44</v>
      </c>
      <c r="J24" s="27"/>
      <c r="K24" s="27"/>
      <c r="L24" s="27"/>
    </row>
    <row r="25" spans="1:12" ht="13.5" customHeight="1">
      <c r="A25" s="37" t="s">
        <v>149</v>
      </c>
      <c r="B25" s="37" t="s">
        <v>150</v>
      </c>
      <c r="C25" s="35">
        <v>69</v>
      </c>
      <c r="D25" s="41">
        <v>10481.200000000001</v>
      </c>
      <c r="E25" s="41">
        <v>1997.2</v>
      </c>
      <c r="F25" s="41">
        <v>0</v>
      </c>
      <c r="G25" s="41">
        <v>0</v>
      </c>
      <c r="H25" s="37" t="s">
        <v>106</v>
      </c>
      <c r="I25" s="41">
        <f t="shared" si="1"/>
        <v>12478.400000000001</v>
      </c>
      <c r="J25" s="27"/>
      <c r="K25" s="27"/>
      <c r="L25" s="27"/>
    </row>
    <row r="26" spans="1:12" ht="13.5" customHeight="1">
      <c r="A26" s="37" t="s">
        <v>151</v>
      </c>
      <c r="B26" s="37" t="s">
        <v>152</v>
      </c>
      <c r="C26" s="35">
        <v>1</v>
      </c>
      <c r="D26" s="41">
        <v>400000</v>
      </c>
      <c r="E26" s="41">
        <v>0</v>
      </c>
      <c r="F26" s="41">
        <v>0</v>
      </c>
      <c r="G26" s="41">
        <v>0</v>
      </c>
      <c r="H26" s="37" t="s">
        <v>106</v>
      </c>
      <c r="I26" s="41">
        <f t="shared" si="1"/>
        <v>400000</v>
      </c>
      <c r="J26" s="37" t="s">
        <v>146</v>
      </c>
      <c r="K26" s="71">
        <v>45717</v>
      </c>
      <c r="L26" s="27"/>
    </row>
    <row r="27" spans="1:12" ht="13.5" customHeight="1">
      <c r="A27" s="37" t="s">
        <v>153</v>
      </c>
      <c r="B27" s="37" t="s">
        <v>154</v>
      </c>
      <c r="C27" s="35">
        <v>8</v>
      </c>
      <c r="D27" s="41">
        <v>79579</v>
      </c>
      <c r="E27" s="41">
        <v>11020</v>
      </c>
      <c r="F27" s="41">
        <v>0</v>
      </c>
      <c r="G27" s="41">
        <v>0</v>
      </c>
      <c r="H27" s="37" t="s">
        <v>106</v>
      </c>
      <c r="I27" s="41">
        <f t="shared" si="1"/>
        <v>90599</v>
      </c>
      <c r="J27" s="27"/>
      <c r="K27" s="27"/>
      <c r="L27" s="27"/>
    </row>
    <row r="28" spans="1:12" ht="13.5" customHeight="1">
      <c r="A28" s="37" t="s">
        <v>155</v>
      </c>
      <c r="B28" s="37" t="s">
        <v>156</v>
      </c>
      <c r="C28" s="35">
        <v>0</v>
      </c>
      <c r="D28" s="72">
        <v>350000</v>
      </c>
      <c r="E28" s="72">
        <v>0</v>
      </c>
      <c r="F28" s="72">
        <v>0</v>
      </c>
      <c r="G28" s="72">
        <v>0</v>
      </c>
      <c r="H28" s="73" t="s">
        <v>106</v>
      </c>
      <c r="I28" s="41">
        <f t="shared" si="1"/>
        <v>350000</v>
      </c>
      <c r="J28" s="37" t="s">
        <v>146</v>
      </c>
      <c r="K28" s="71">
        <v>45717</v>
      </c>
      <c r="L28" s="27"/>
    </row>
    <row r="29" spans="1:12" ht="13.5" customHeight="1">
      <c r="A29" s="37" t="s">
        <v>157</v>
      </c>
      <c r="B29" s="37" t="s">
        <v>158</v>
      </c>
      <c r="C29" s="74">
        <v>0</v>
      </c>
      <c r="D29" s="75">
        <v>62000</v>
      </c>
      <c r="E29" s="75">
        <v>0</v>
      </c>
      <c r="F29" s="75">
        <v>0</v>
      </c>
      <c r="G29" s="75">
        <v>0</v>
      </c>
      <c r="H29" s="76" t="s">
        <v>106</v>
      </c>
      <c r="I29" s="77">
        <f t="shared" si="1"/>
        <v>62000</v>
      </c>
      <c r="J29" s="27"/>
      <c r="K29" s="27"/>
      <c r="L29" s="27"/>
    </row>
    <row r="30" spans="1:12" ht="13.5" customHeight="1">
      <c r="A30" s="37" t="s">
        <v>159</v>
      </c>
      <c r="B30" s="37" t="s">
        <v>160</v>
      </c>
      <c r="C30" s="74">
        <v>1</v>
      </c>
      <c r="D30" s="78">
        <v>0</v>
      </c>
      <c r="E30" s="78">
        <v>0</v>
      </c>
      <c r="F30" s="78">
        <v>0</v>
      </c>
      <c r="G30" s="78">
        <v>0</v>
      </c>
      <c r="H30" s="79" t="s">
        <v>106</v>
      </c>
      <c r="I30" s="78">
        <f t="shared" si="1"/>
        <v>0</v>
      </c>
      <c r="J30" s="46"/>
      <c r="K30" s="80"/>
      <c r="L30" s="27"/>
    </row>
    <row r="31" spans="1:12" ht="13.5" customHeight="1">
      <c r="A31" s="37" t="s">
        <v>161</v>
      </c>
      <c r="B31" s="37" t="s">
        <v>162</v>
      </c>
      <c r="C31" s="35">
        <v>0</v>
      </c>
      <c r="D31" s="81">
        <v>5000000</v>
      </c>
      <c r="E31" s="75">
        <v>-1400000</v>
      </c>
      <c r="F31" s="75">
        <v>0</v>
      </c>
      <c r="G31" s="75">
        <v>0</v>
      </c>
      <c r="H31" s="76" t="s">
        <v>106</v>
      </c>
      <c r="I31" s="82">
        <f t="shared" si="1"/>
        <v>3600000</v>
      </c>
      <c r="J31" s="83"/>
      <c r="K31" s="75">
        <v>3176917.24</v>
      </c>
      <c r="L31" s="84" t="s">
        <v>163</v>
      </c>
    </row>
    <row r="32" spans="1:12" ht="13.5" customHeight="1">
      <c r="A32" s="37" t="s">
        <v>164</v>
      </c>
      <c r="B32" s="37" t="s">
        <v>165</v>
      </c>
      <c r="C32" s="74">
        <v>0</v>
      </c>
      <c r="D32" s="75">
        <v>84500</v>
      </c>
      <c r="E32" s="75">
        <v>0</v>
      </c>
      <c r="F32" s="75">
        <v>0</v>
      </c>
      <c r="G32" s="75">
        <v>0</v>
      </c>
      <c r="H32" s="76" t="s">
        <v>106</v>
      </c>
      <c r="I32" s="85">
        <f t="shared" si="1"/>
        <v>84500</v>
      </c>
      <c r="J32" s="27"/>
      <c r="K32" s="86"/>
      <c r="L32" s="27"/>
    </row>
    <row r="33" spans="1:12" ht="13.5" customHeight="1">
      <c r="A33" s="37" t="s">
        <v>166</v>
      </c>
      <c r="B33" s="37" t="s">
        <v>167</v>
      </c>
      <c r="C33" s="35">
        <v>0</v>
      </c>
      <c r="D33" s="70">
        <v>5910</v>
      </c>
      <c r="E33" s="70">
        <v>0</v>
      </c>
      <c r="F33" s="70">
        <v>0</v>
      </c>
      <c r="G33" s="70">
        <v>0</v>
      </c>
      <c r="H33" s="68" t="s">
        <v>106</v>
      </c>
      <c r="I33" s="41">
        <f t="shared" si="1"/>
        <v>5910</v>
      </c>
      <c r="J33" s="27"/>
      <c r="K33" s="27"/>
      <c r="L33" s="27"/>
    </row>
    <row r="34" spans="1:12" ht="13.5" customHeight="1">
      <c r="A34" s="37" t="s">
        <v>168</v>
      </c>
      <c r="B34" s="37" t="s">
        <v>169</v>
      </c>
      <c r="C34" s="35">
        <v>3659.5</v>
      </c>
      <c r="D34" s="41">
        <v>35051.78</v>
      </c>
      <c r="E34" s="41">
        <v>334.17</v>
      </c>
      <c r="F34" s="41">
        <v>0</v>
      </c>
      <c r="G34" s="41">
        <v>0</v>
      </c>
      <c r="H34" s="37" t="s">
        <v>106</v>
      </c>
      <c r="I34" s="41">
        <f t="shared" si="1"/>
        <v>35385.949999999997</v>
      </c>
      <c r="J34" s="27"/>
      <c r="K34" s="27"/>
      <c r="L34" s="27"/>
    </row>
    <row r="35" spans="1:12" ht="13.5" customHeight="1">
      <c r="A35" s="37" t="s">
        <v>170</v>
      </c>
      <c r="B35" s="37" t="s">
        <v>171</v>
      </c>
      <c r="C35" s="35">
        <v>0</v>
      </c>
      <c r="D35" s="41">
        <v>8819.85</v>
      </c>
      <c r="E35" s="41">
        <v>0</v>
      </c>
      <c r="F35" s="41">
        <v>0</v>
      </c>
      <c r="G35" s="41">
        <v>0</v>
      </c>
      <c r="H35" s="37" t="s">
        <v>106</v>
      </c>
      <c r="I35" s="41">
        <f t="shared" si="1"/>
        <v>8819.85</v>
      </c>
      <c r="J35" s="27"/>
      <c r="K35" s="27"/>
      <c r="L35" s="27"/>
    </row>
    <row r="36" spans="1:12" ht="13.5" customHeight="1">
      <c r="A36" s="27"/>
      <c r="B36" s="27"/>
      <c r="C36" s="27"/>
      <c r="D36" s="41"/>
      <c r="E36" s="41"/>
      <c r="F36" s="41"/>
      <c r="G36" s="41"/>
      <c r="H36" s="41"/>
      <c r="I36" s="41"/>
      <c r="J36" s="27"/>
      <c r="K36" s="27"/>
      <c r="L36" s="27"/>
    </row>
    <row r="37" spans="1:12" ht="13.5" customHeight="1">
      <c r="A37" s="37" t="s">
        <v>172</v>
      </c>
      <c r="B37" s="37" t="s">
        <v>173</v>
      </c>
      <c r="C37" s="35">
        <v>0</v>
      </c>
      <c r="D37" s="41">
        <v>17289.8</v>
      </c>
      <c r="E37" s="41">
        <v>0</v>
      </c>
      <c r="F37" s="41">
        <v>0</v>
      </c>
      <c r="G37" s="41">
        <v>0</v>
      </c>
      <c r="H37" s="37" t="s">
        <v>106</v>
      </c>
      <c r="I37" s="41">
        <f>D37+E37</f>
        <v>17289.8</v>
      </c>
      <c r="J37" s="27"/>
      <c r="K37" s="27"/>
      <c r="L37" s="27"/>
    </row>
    <row r="38" spans="1:12" ht="13.5" customHeight="1">
      <c r="A38" s="27"/>
      <c r="B38" s="27"/>
      <c r="C38" s="27"/>
      <c r="D38" s="41"/>
      <c r="E38" s="41"/>
      <c r="F38" s="41"/>
      <c r="G38" s="41"/>
      <c r="H38" s="41"/>
      <c r="I38" s="41"/>
      <c r="J38" s="27"/>
      <c r="K38" s="27"/>
      <c r="L38" s="27"/>
    </row>
    <row r="39" spans="1:12" ht="13.5" customHeight="1">
      <c r="A39" s="37" t="s">
        <v>174</v>
      </c>
      <c r="B39" s="37" t="s">
        <v>175</v>
      </c>
      <c r="C39" s="35">
        <v>0</v>
      </c>
      <c r="D39" s="41">
        <v>308.3</v>
      </c>
      <c r="E39" s="41">
        <v>0</v>
      </c>
      <c r="F39" s="41">
        <v>0</v>
      </c>
      <c r="G39" s="41">
        <v>0</v>
      </c>
      <c r="H39" s="37" t="s">
        <v>106</v>
      </c>
      <c r="I39" s="41">
        <f>D39+E39</f>
        <v>308.3</v>
      </c>
      <c r="J39" s="27"/>
      <c r="K39" s="27"/>
      <c r="L39" s="27"/>
    </row>
    <row r="40" spans="1:12" ht="13.5" customHeight="1">
      <c r="A40" s="37" t="s">
        <v>176</v>
      </c>
      <c r="B40" s="37" t="s">
        <v>177</v>
      </c>
      <c r="C40" s="35">
        <v>0</v>
      </c>
      <c r="D40" s="41">
        <v>158000</v>
      </c>
      <c r="E40" s="41">
        <v>0</v>
      </c>
      <c r="F40" s="41">
        <v>0</v>
      </c>
      <c r="G40" s="41">
        <v>0</v>
      </c>
      <c r="H40" s="37" t="s">
        <v>106</v>
      </c>
      <c r="I40" s="41">
        <f>D40+E40</f>
        <v>158000</v>
      </c>
      <c r="J40" s="27"/>
      <c r="K40" s="71">
        <v>45717</v>
      </c>
      <c r="L40" s="27"/>
    </row>
    <row r="41" spans="1:12" ht="13.5" customHeight="1">
      <c r="A41" s="37" t="s">
        <v>178</v>
      </c>
      <c r="B41" s="37" t="s">
        <v>179</v>
      </c>
      <c r="C41" s="35">
        <v>0</v>
      </c>
      <c r="D41" s="41">
        <v>670000</v>
      </c>
      <c r="E41" s="41">
        <v>0</v>
      </c>
      <c r="F41" s="41">
        <v>0</v>
      </c>
      <c r="G41" s="41">
        <v>0</v>
      </c>
      <c r="H41" s="37" t="s">
        <v>106</v>
      </c>
      <c r="I41" s="41">
        <f>D41+E41</f>
        <v>670000</v>
      </c>
      <c r="J41" s="27"/>
      <c r="K41" s="27"/>
      <c r="L41" s="27"/>
    </row>
    <row r="42" spans="1:12" ht="13.5" customHeight="1">
      <c r="A42" s="27"/>
      <c r="B42" s="27"/>
      <c r="C42" s="27"/>
      <c r="D42" s="41"/>
      <c r="E42" s="41"/>
      <c r="F42" s="41"/>
      <c r="G42" s="41"/>
      <c r="H42" s="41"/>
      <c r="I42" s="41"/>
      <c r="J42" s="27"/>
      <c r="K42" s="27"/>
      <c r="L42" s="27"/>
    </row>
    <row r="43" spans="1:12" ht="13.5" customHeight="1">
      <c r="A43" s="37" t="s">
        <v>180</v>
      </c>
      <c r="B43" s="37" t="s">
        <v>181</v>
      </c>
      <c r="C43" s="35">
        <v>0</v>
      </c>
      <c r="D43" s="72">
        <v>400</v>
      </c>
      <c r="E43" s="72">
        <v>0</v>
      </c>
      <c r="F43" s="72">
        <v>0</v>
      </c>
      <c r="G43" s="72">
        <v>0</v>
      </c>
      <c r="H43" s="73" t="s">
        <v>106</v>
      </c>
      <c r="I43" s="41">
        <v>0</v>
      </c>
      <c r="J43" s="27"/>
      <c r="K43" s="27"/>
      <c r="L43" s="27"/>
    </row>
    <row r="44" spans="1:12" ht="13.5" customHeight="1">
      <c r="A44" s="37" t="s">
        <v>182</v>
      </c>
      <c r="B44" s="37" t="s">
        <v>183</v>
      </c>
      <c r="C44" s="74">
        <v>0</v>
      </c>
      <c r="D44" s="75">
        <v>92840</v>
      </c>
      <c r="E44" s="75">
        <v>0</v>
      </c>
      <c r="F44" s="75">
        <v>0</v>
      </c>
      <c r="G44" s="75">
        <v>0</v>
      </c>
      <c r="H44" s="76" t="s">
        <v>106</v>
      </c>
      <c r="I44" s="85">
        <v>0</v>
      </c>
      <c r="J44" s="27"/>
      <c r="K44" s="27"/>
      <c r="L44" s="27"/>
    </row>
    <row r="45" spans="1:12" ht="13.5" customHeight="1">
      <c r="A45" s="37" t="s">
        <v>184</v>
      </c>
      <c r="B45" s="37" t="s">
        <v>185</v>
      </c>
      <c r="C45" s="35">
        <v>1</v>
      </c>
      <c r="D45" s="70">
        <v>4036.23</v>
      </c>
      <c r="E45" s="70">
        <v>0</v>
      </c>
      <c r="F45" s="70">
        <v>0</v>
      </c>
      <c r="G45" s="70">
        <v>0</v>
      </c>
      <c r="H45" s="68" t="s">
        <v>106</v>
      </c>
      <c r="I45" s="41">
        <f>D45+E45</f>
        <v>4036.23</v>
      </c>
      <c r="J45" s="27"/>
      <c r="K45" s="27"/>
      <c r="L45" s="27"/>
    </row>
    <row r="46" spans="1:12" ht="13.5" customHeight="1">
      <c r="A46" s="37" t="s">
        <v>186</v>
      </c>
      <c r="B46" s="37" t="s">
        <v>187</v>
      </c>
      <c r="C46" s="35">
        <v>4</v>
      </c>
      <c r="D46" s="41">
        <v>15970.77</v>
      </c>
      <c r="E46" s="41">
        <v>300</v>
      </c>
      <c r="F46" s="41">
        <v>0</v>
      </c>
      <c r="G46" s="41">
        <v>0</v>
      </c>
      <c r="H46" s="37" t="s">
        <v>106</v>
      </c>
      <c r="I46" s="41">
        <f>D46+E46</f>
        <v>16270.77</v>
      </c>
      <c r="J46" s="27"/>
      <c r="K46" s="27"/>
      <c r="L46" s="27"/>
    </row>
    <row r="47" spans="1:12" ht="13.5" customHeight="1">
      <c r="A47" s="37" t="s">
        <v>188</v>
      </c>
      <c r="B47" s="37" t="s">
        <v>189</v>
      </c>
      <c r="C47" s="35">
        <v>2</v>
      </c>
      <c r="D47" s="41">
        <v>7331.23</v>
      </c>
      <c r="E47" s="41">
        <v>0</v>
      </c>
      <c r="F47" s="41">
        <v>0</v>
      </c>
      <c r="G47" s="41">
        <v>0</v>
      </c>
      <c r="H47" s="37" t="s">
        <v>106</v>
      </c>
      <c r="I47" s="41">
        <f>D47+E47</f>
        <v>7331.23</v>
      </c>
      <c r="J47" s="27"/>
      <c r="K47" s="27"/>
      <c r="L47" s="27"/>
    </row>
    <row r="48" spans="1:12" ht="13.5" customHeight="1">
      <c r="A48" s="37" t="s">
        <v>190</v>
      </c>
      <c r="B48" s="37" t="s">
        <v>191</v>
      </c>
      <c r="C48" s="35">
        <v>2</v>
      </c>
      <c r="D48" s="41">
        <v>11158.49</v>
      </c>
      <c r="E48" s="41">
        <v>0</v>
      </c>
      <c r="F48" s="41">
        <v>0</v>
      </c>
      <c r="G48" s="41">
        <v>0</v>
      </c>
      <c r="H48" s="37" t="s">
        <v>106</v>
      </c>
      <c r="I48" s="41">
        <f>D48+E48</f>
        <v>11158.49</v>
      </c>
      <c r="J48" s="27"/>
      <c r="K48" s="27"/>
      <c r="L48" s="27"/>
    </row>
    <row r="49" spans="1:12" ht="13.5" customHeight="1">
      <c r="A49" s="27"/>
      <c r="B49" s="27"/>
      <c r="C49" s="27"/>
      <c r="D49" s="41"/>
      <c r="E49" s="41"/>
      <c r="F49" s="41"/>
      <c r="G49" s="41"/>
      <c r="H49" s="41"/>
      <c r="I49" s="41"/>
      <c r="J49" s="27"/>
      <c r="K49" s="27"/>
      <c r="L49" s="27"/>
    </row>
    <row r="50" spans="1:12" ht="13.5" customHeight="1">
      <c r="A50" s="37" t="s">
        <v>192</v>
      </c>
      <c r="B50" s="37" t="s">
        <v>193</v>
      </c>
      <c r="C50" s="35">
        <v>8</v>
      </c>
      <c r="D50" s="41">
        <v>0</v>
      </c>
      <c r="E50" s="41">
        <v>0</v>
      </c>
      <c r="F50" s="41">
        <v>0</v>
      </c>
      <c r="G50" s="41">
        <v>0</v>
      </c>
      <c r="H50" s="37" t="s">
        <v>106</v>
      </c>
      <c r="I50" s="41">
        <f>D50+E50</f>
        <v>0</v>
      </c>
      <c r="J50" s="27"/>
      <c r="K50" s="27"/>
      <c r="L50" s="27"/>
    </row>
    <row r="51" spans="1:12" ht="13.5" customHeight="1">
      <c r="A51" s="37" t="s">
        <v>194</v>
      </c>
      <c r="B51" s="37" t="s">
        <v>195</v>
      </c>
      <c r="C51" s="35">
        <v>8.01</v>
      </c>
      <c r="D51" s="41">
        <v>0</v>
      </c>
      <c r="E51" s="41">
        <v>0</v>
      </c>
      <c r="F51" s="41">
        <v>0</v>
      </c>
      <c r="G51" s="41">
        <v>0</v>
      </c>
      <c r="H51" s="37" t="s">
        <v>106</v>
      </c>
      <c r="I51" s="41">
        <f>D51+E51</f>
        <v>0</v>
      </c>
      <c r="J51" s="27"/>
      <c r="K51" s="27"/>
      <c r="L51" s="27"/>
    </row>
    <row r="52" spans="1:12" ht="13.5" customHeight="1">
      <c r="A52" s="27"/>
      <c r="B52" s="27"/>
      <c r="C52" s="27"/>
      <c r="D52" s="41"/>
      <c r="E52" s="41"/>
      <c r="F52" s="41"/>
      <c r="G52" s="41"/>
      <c r="H52" s="41"/>
      <c r="I52" s="41"/>
      <c r="J52" s="27"/>
      <c r="K52" s="27"/>
      <c r="L52" s="27"/>
    </row>
    <row r="53" spans="1:12" ht="13.5" customHeight="1">
      <c r="A53" s="37" t="s">
        <v>196</v>
      </c>
      <c r="B53" s="37" t="s">
        <v>197</v>
      </c>
      <c r="C53" s="35">
        <v>0</v>
      </c>
      <c r="D53" s="41">
        <v>2925</v>
      </c>
      <c r="E53" s="41">
        <v>0</v>
      </c>
      <c r="F53" s="41">
        <v>0</v>
      </c>
      <c r="G53" s="41">
        <v>0</v>
      </c>
      <c r="H53" s="37" t="s">
        <v>106</v>
      </c>
      <c r="I53" s="41">
        <f>D53+E53</f>
        <v>2925</v>
      </c>
      <c r="J53" s="27"/>
      <c r="K53" s="27"/>
      <c r="L53" s="27"/>
    </row>
    <row r="54" spans="1:12" ht="13.5" customHeight="1">
      <c r="A54" s="37" t="s">
        <v>198</v>
      </c>
      <c r="B54" s="37" t="s">
        <v>199</v>
      </c>
      <c r="C54" s="35">
        <v>0</v>
      </c>
      <c r="D54" s="41">
        <v>38466.47</v>
      </c>
      <c r="E54" s="41">
        <v>0</v>
      </c>
      <c r="F54" s="41">
        <v>0</v>
      </c>
      <c r="G54" s="41">
        <v>0</v>
      </c>
      <c r="H54" s="37" t="s">
        <v>106</v>
      </c>
      <c r="I54" s="41">
        <v>0</v>
      </c>
      <c r="J54" s="27"/>
      <c r="K54" s="27"/>
      <c r="L54" s="27"/>
    </row>
    <row r="55" spans="1:12" ht="13.5" customHeight="1">
      <c r="A55" s="37" t="s">
        <v>200</v>
      </c>
      <c r="B55" s="37" t="s">
        <v>201</v>
      </c>
      <c r="C55" s="35">
        <v>0</v>
      </c>
      <c r="D55" s="41">
        <v>500</v>
      </c>
      <c r="E55" s="41">
        <v>0</v>
      </c>
      <c r="F55" s="41">
        <v>0</v>
      </c>
      <c r="G55" s="41">
        <v>0</v>
      </c>
      <c r="H55" s="37" t="s">
        <v>106</v>
      </c>
      <c r="I55" s="41">
        <f t="shared" ref="I55:I62" si="2">D55+E55</f>
        <v>500</v>
      </c>
      <c r="J55" s="27"/>
      <c r="K55" s="27"/>
      <c r="L55" s="27"/>
    </row>
    <row r="56" spans="1:12" ht="13.5" customHeight="1">
      <c r="A56" s="37" t="s">
        <v>202</v>
      </c>
      <c r="B56" s="37" t="s">
        <v>203</v>
      </c>
      <c r="C56" s="35">
        <v>0</v>
      </c>
      <c r="D56" s="41">
        <v>5000</v>
      </c>
      <c r="E56" s="41">
        <v>0</v>
      </c>
      <c r="F56" s="41">
        <v>0</v>
      </c>
      <c r="G56" s="41">
        <v>0</v>
      </c>
      <c r="H56" s="37" t="s">
        <v>106</v>
      </c>
      <c r="I56" s="41">
        <f t="shared" si="2"/>
        <v>5000</v>
      </c>
      <c r="J56" s="27"/>
      <c r="K56" s="27"/>
      <c r="L56" s="27"/>
    </row>
    <row r="57" spans="1:12" ht="13.5" customHeight="1">
      <c r="A57" s="37" t="s">
        <v>204</v>
      </c>
      <c r="B57" s="37" t="s">
        <v>205</v>
      </c>
      <c r="C57" s="35">
        <v>4</v>
      </c>
      <c r="D57" s="41">
        <v>10995</v>
      </c>
      <c r="E57" s="41">
        <v>2084</v>
      </c>
      <c r="F57" s="41">
        <v>0</v>
      </c>
      <c r="G57" s="41">
        <v>0</v>
      </c>
      <c r="H57" s="37" t="s">
        <v>106</v>
      </c>
      <c r="I57" s="41">
        <f t="shared" si="2"/>
        <v>13079</v>
      </c>
      <c r="J57" s="27"/>
      <c r="K57" s="27"/>
      <c r="L57" s="27"/>
    </row>
    <row r="58" spans="1:12" ht="13.5" customHeight="1">
      <c r="A58" s="37" t="s">
        <v>206</v>
      </c>
      <c r="B58" s="37" t="s">
        <v>207</v>
      </c>
      <c r="C58" s="35">
        <v>2</v>
      </c>
      <c r="D58" s="41">
        <v>19863</v>
      </c>
      <c r="E58" s="41">
        <v>380</v>
      </c>
      <c r="F58" s="41">
        <v>0</v>
      </c>
      <c r="G58" s="41">
        <v>0</v>
      </c>
      <c r="H58" s="37" t="s">
        <v>106</v>
      </c>
      <c r="I58" s="41">
        <f t="shared" si="2"/>
        <v>20243</v>
      </c>
      <c r="J58" s="27"/>
      <c r="K58" s="27"/>
      <c r="L58" s="27"/>
    </row>
    <row r="59" spans="1:12" ht="13.5" customHeight="1">
      <c r="A59" s="37" t="s">
        <v>208</v>
      </c>
      <c r="B59" s="37" t="s">
        <v>209</v>
      </c>
      <c r="C59" s="35">
        <v>16</v>
      </c>
      <c r="D59" s="41">
        <v>0</v>
      </c>
      <c r="E59" s="41">
        <v>0</v>
      </c>
      <c r="F59" s="41">
        <v>0</v>
      </c>
      <c r="G59" s="41">
        <v>0</v>
      </c>
      <c r="H59" s="37" t="s">
        <v>106</v>
      </c>
      <c r="I59" s="41">
        <f t="shared" si="2"/>
        <v>0</v>
      </c>
      <c r="J59" s="27"/>
      <c r="K59" s="27"/>
      <c r="L59" s="27"/>
    </row>
    <row r="60" spans="1:12" ht="13.5" customHeight="1">
      <c r="A60" s="37" t="s">
        <v>210</v>
      </c>
      <c r="B60" s="37" t="s">
        <v>211</v>
      </c>
      <c r="C60" s="35">
        <v>263</v>
      </c>
      <c r="D60" s="41">
        <v>28105</v>
      </c>
      <c r="E60" s="41">
        <v>2810.5</v>
      </c>
      <c r="F60" s="41">
        <v>0</v>
      </c>
      <c r="G60" s="41">
        <v>0</v>
      </c>
      <c r="H60" s="37" t="s">
        <v>106</v>
      </c>
      <c r="I60" s="41">
        <f t="shared" si="2"/>
        <v>30915.5</v>
      </c>
      <c r="J60" s="27"/>
      <c r="K60" s="27"/>
      <c r="L60" s="27"/>
    </row>
    <row r="61" spans="1:12" ht="13.5" customHeight="1">
      <c r="A61" s="37" t="s">
        <v>212</v>
      </c>
      <c r="B61" s="37" t="s">
        <v>213</v>
      </c>
      <c r="C61" s="35">
        <v>78</v>
      </c>
      <c r="D61" s="41">
        <v>99867.86</v>
      </c>
      <c r="E61" s="41">
        <v>19863.11</v>
      </c>
      <c r="F61" s="41">
        <v>0</v>
      </c>
      <c r="G61" s="41">
        <v>0</v>
      </c>
      <c r="H61" s="37" t="s">
        <v>106</v>
      </c>
      <c r="I61" s="41">
        <f t="shared" si="2"/>
        <v>119730.97</v>
      </c>
      <c r="J61" s="27"/>
      <c r="K61" s="27"/>
      <c r="L61" s="27"/>
    </row>
    <row r="62" spans="1:12" ht="13.5" customHeight="1">
      <c r="A62" s="37" t="s">
        <v>214</v>
      </c>
      <c r="B62" s="37" t="s">
        <v>215</v>
      </c>
      <c r="C62" s="35">
        <v>1</v>
      </c>
      <c r="D62" s="41">
        <v>45814.400000000001</v>
      </c>
      <c r="E62" s="41">
        <v>0</v>
      </c>
      <c r="F62" s="41">
        <v>0</v>
      </c>
      <c r="G62" s="41">
        <v>0</v>
      </c>
      <c r="H62" s="37" t="s">
        <v>106</v>
      </c>
      <c r="I62" s="41">
        <f t="shared" si="2"/>
        <v>45814.400000000001</v>
      </c>
      <c r="J62" s="27"/>
      <c r="K62" s="27"/>
      <c r="L62" s="27"/>
    </row>
    <row r="63" spans="1:12" ht="13.5" customHeight="1">
      <c r="A63" s="27"/>
      <c r="B63" s="27"/>
      <c r="C63" s="27"/>
      <c r="D63" s="41"/>
      <c r="E63" s="41"/>
      <c r="F63" s="41"/>
      <c r="G63" s="41"/>
      <c r="H63" s="41"/>
      <c r="I63" s="41"/>
      <c r="J63" s="27"/>
      <c r="K63" s="27"/>
      <c r="L63" s="27"/>
    </row>
    <row r="64" spans="1:12" ht="13.5" customHeight="1">
      <c r="A64" s="27"/>
      <c r="B64" s="27"/>
      <c r="C64" s="27"/>
      <c r="D64" s="41">
        <f>SUBTOTAL(9,D2:D62)</f>
        <v>8326160.7300000004</v>
      </c>
      <c r="E64" s="41">
        <f>SUBTOTAL(9,E2:E62)</f>
        <v>-1302179.6399999999</v>
      </c>
      <c r="F64" s="41">
        <f>SUBTOTAL(9,F2:F62)</f>
        <v>1820</v>
      </c>
      <c r="G64" s="41">
        <f>SUM(G2:G62)</f>
        <v>0</v>
      </c>
      <c r="H64" s="41"/>
      <c r="I64" s="41">
        <f>SUBTOTAL(9,I2:I62)</f>
        <v>6892274.6200000001</v>
      </c>
      <c r="J64" s="27"/>
      <c r="K64" s="27"/>
      <c r="L64" s="27"/>
    </row>
    <row r="65" spans="1:12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ht="13.5" customHeight="1">
      <c r="A66" s="27"/>
      <c r="B66" s="27"/>
      <c r="C66" s="27"/>
      <c r="D66" s="27"/>
      <c r="E66" s="27"/>
      <c r="F66" s="27"/>
      <c r="G66" s="37" t="s">
        <v>216</v>
      </c>
      <c r="H66" s="27"/>
      <c r="I66" s="41">
        <f>I64-I28-I26-I23</f>
        <v>5692274.6200000001</v>
      </c>
      <c r="J66" s="27"/>
      <c r="K66" s="27"/>
      <c r="L66" s="27"/>
    </row>
    <row r="67" spans="1:12" ht="13.5" customHeight="1">
      <c r="A67" s="27"/>
      <c r="B67" s="27"/>
      <c r="C67" s="27"/>
      <c r="D67" s="27"/>
      <c r="E67" s="27"/>
      <c r="F67" s="27"/>
      <c r="G67" s="37" t="s">
        <v>146</v>
      </c>
      <c r="H67" s="27"/>
      <c r="I67" s="41">
        <f>SUM(I23,I26,I28)</f>
        <v>1200000</v>
      </c>
      <c r="J67" s="27"/>
      <c r="K67" s="27"/>
      <c r="L67" s="27"/>
    </row>
    <row r="68" spans="1:12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ht="13.5" customHeight="1">
      <c r="A69" s="27"/>
      <c r="B69" s="27"/>
      <c r="C69" s="27"/>
      <c r="D69" s="27"/>
      <c r="E69" s="27"/>
      <c r="F69" s="27"/>
      <c r="G69" s="27"/>
      <c r="H69" s="27"/>
      <c r="I69" s="41">
        <f>SUM(I66:I68)</f>
        <v>6892274.6200000001</v>
      </c>
      <c r="J69" s="27"/>
      <c r="K69" s="27"/>
      <c r="L69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6"/>
  <sheetViews>
    <sheetView showGridLines="0" workbookViewId="0">
      <selection activeCell="V18" sqref="V18"/>
    </sheetView>
  </sheetViews>
  <sheetFormatPr baseColWidth="10" defaultColWidth="8.6640625" defaultRowHeight="15" customHeight="1" outlineLevelCol="1"/>
  <cols>
    <col min="1" max="1" width="17.6640625" style="1" customWidth="1"/>
    <col min="2" max="2" width="2.6640625" style="1" hidden="1" customWidth="1" outlineLevel="1"/>
    <col min="3" max="3" width="14.5" style="1" hidden="1" customWidth="1" outlineLevel="1"/>
    <col min="4" max="9" width="8.6640625" style="1" hidden="1" customWidth="1" outlineLevel="1"/>
    <col min="10" max="10" width="8.6640625" style="1" customWidth="1" collapsed="1"/>
    <col min="11" max="11" width="25.5" style="1" bestFit="1" customWidth="1"/>
    <col min="12" max="12" width="14" style="1" bestFit="1" customWidth="1"/>
    <col min="13" max="13" width="10.1640625" style="1" bestFit="1" customWidth="1"/>
    <col min="14" max="14" width="9.1640625" style="1" bestFit="1" customWidth="1"/>
    <col min="15" max="15" width="8.6640625" style="1"/>
    <col min="16" max="16" width="6.6640625" style="1" bestFit="1" customWidth="1"/>
    <col min="17" max="17" width="19.6640625" style="1" bestFit="1" customWidth="1"/>
    <col min="18" max="18" width="14" style="142" bestFit="1" customWidth="1"/>
    <col min="19" max="19" width="12.33203125" style="1" bestFit="1" customWidth="1"/>
    <col min="20" max="16384" width="8.6640625" style="1"/>
  </cols>
  <sheetData>
    <row r="1" spans="1:19" ht="13.5" customHeight="1">
      <c r="A1" s="27"/>
      <c r="B1" s="27"/>
      <c r="C1" s="21"/>
      <c r="D1" s="27"/>
      <c r="E1" s="27"/>
      <c r="F1" s="27"/>
      <c r="G1" s="26"/>
      <c r="H1" s="26"/>
      <c r="I1" s="26"/>
      <c r="K1" s="145">
        <v>45975</v>
      </c>
      <c r="L1" s="146" t="s">
        <v>316</v>
      </c>
      <c r="M1" s="146"/>
    </row>
    <row r="2" spans="1:19" ht="13.5" customHeight="1">
      <c r="A2" s="37" t="s">
        <v>236</v>
      </c>
      <c r="B2" s="27"/>
      <c r="C2" s="21"/>
      <c r="D2" s="27"/>
      <c r="E2" s="27"/>
      <c r="F2" s="30"/>
      <c r="G2" s="97" t="s">
        <v>237</v>
      </c>
      <c r="H2" s="98"/>
      <c r="I2" s="97" t="s">
        <v>238</v>
      </c>
      <c r="K2" t="s">
        <v>288</v>
      </c>
      <c r="L2" s="142">
        <v>2600000</v>
      </c>
      <c r="M2" t="s">
        <v>289</v>
      </c>
      <c r="N2" t="s">
        <v>290</v>
      </c>
      <c r="O2"/>
      <c r="P2"/>
      <c r="Q2" s="146"/>
      <c r="R2" s="163"/>
    </row>
    <row r="3" spans="1:19" ht="13.5" customHeight="1">
      <c r="A3" s="99">
        <v>45884</v>
      </c>
      <c r="B3" s="27"/>
      <c r="C3" s="5" t="s">
        <v>239</v>
      </c>
      <c r="D3" s="37" t="s">
        <v>240</v>
      </c>
      <c r="E3" s="37" t="s">
        <v>241</v>
      </c>
      <c r="F3" s="30"/>
      <c r="G3" s="62" t="s">
        <v>242</v>
      </c>
      <c r="H3" s="65"/>
      <c r="I3" s="64">
        <v>33.799999999999997</v>
      </c>
      <c r="K3" t="s">
        <v>291</v>
      </c>
      <c r="L3" s="142">
        <v>461900</v>
      </c>
      <c r="M3" t="s">
        <v>289</v>
      </c>
      <c r="N3" t="s">
        <v>292</v>
      </c>
      <c r="O3"/>
      <c r="P3"/>
      <c r="Q3" s="146" t="s">
        <v>320</v>
      </c>
      <c r="R3" s="163">
        <v>1734000</v>
      </c>
    </row>
    <row r="4" spans="1:19" ht="13.5" customHeight="1">
      <c r="A4" s="99">
        <v>45899</v>
      </c>
      <c r="B4" s="27"/>
      <c r="C4" s="5" t="s">
        <v>243</v>
      </c>
      <c r="D4" s="37" t="s">
        <v>240</v>
      </c>
      <c r="E4" s="37" t="s">
        <v>241</v>
      </c>
      <c r="F4" s="30"/>
      <c r="G4" s="62" t="s">
        <v>244</v>
      </c>
      <c r="H4" s="62" t="s">
        <v>245</v>
      </c>
      <c r="I4" s="64">
        <v>4.1500000000000004</v>
      </c>
      <c r="K4" t="s">
        <v>293</v>
      </c>
      <c r="L4" s="142">
        <v>380000</v>
      </c>
      <c r="M4" t="s">
        <v>289</v>
      </c>
      <c r="N4" t="s">
        <v>292</v>
      </c>
      <c r="O4" t="s">
        <v>55</v>
      </c>
      <c r="P4"/>
      <c r="Q4" s="164" t="s">
        <v>281</v>
      </c>
      <c r="R4" s="142">
        <v>-542750</v>
      </c>
    </row>
    <row r="5" spans="1:19" ht="13.5" customHeight="1">
      <c r="A5" s="27"/>
      <c r="B5" s="27"/>
      <c r="C5" s="21"/>
      <c r="D5" s="27"/>
      <c r="E5" s="27"/>
      <c r="F5" s="30"/>
      <c r="G5" s="62" t="s">
        <v>244</v>
      </c>
      <c r="H5" s="62" t="s">
        <v>246</v>
      </c>
      <c r="I5" s="64">
        <v>10.35</v>
      </c>
      <c r="K5" t="s">
        <v>294</v>
      </c>
      <c r="L5" s="142">
        <v>100000</v>
      </c>
      <c r="M5" t="s">
        <v>289</v>
      </c>
      <c r="N5" t="s">
        <v>292</v>
      </c>
      <c r="O5" t="s">
        <v>55</v>
      </c>
      <c r="P5"/>
      <c r="Q5" s="164" t="s">
        <v>321</v>
      </c>
      <c r="R5" s="142">
        <v>-230000</v>
      </c>
    </row>
    <row r="6" spans="1:19" ht="13.5" customHeight="1">
      <c r="A6" s="37" t="s">
        <v>247</v>
      </c>
      <c r="B6" s="27"/>
      <c r="C6" s="5" t="s">
        <v>248</v>
      </c>
      <c r="D6" s="37" t="s">
        <v>249</v>
      </c>
      <c r="E6" s="27"/>
      <c r="F6" s="30"/>
      <c r="G6" s="62" t="s">
        <v>250</v>
      </c>
      <c r="H6" s="65"/>
      <c r="I6" s="64">
        <v>5.6</v>
      </c>
      <c r="K6" t="s">
        <v>295</v>
      </c>
      <c r="L6" s="142">
        <v>265000</v>
      </c>
      <c r="M6" t="s">
        <v>289</v>
      </c>
      <c r="N6" t="s">
        <v>292</v>
      </c>
      <c r="O6" t="s">
        <v>296</v>
      </c>
      <c r="P6"/>
      <c r="Q6" s="166" t="s">
        <v>279</v>
      </c>
      <c r="R6" s="142">
        <v>-82491.360000000001</v>
      </c>
    </row>
    <row r="7" spans="1:19" ht="13.5" customHeight="1">
      <c r="A7" s="27"/>
      <c r="B7" s="27"/>
      <c r="C7" s="25">
        <v>4000000</v>
      </c>
      <c r="D7" s="27"/>
      <c r="E7" s="27"/>
      <c r="F7" s="30"/>
      <c r="G7" s="62" t="s">
        <v>251</v>
      </c>
      <c r="H7" s="65"/>
      <c r="I7" s="64">
        <v>11.35</v>
      </c>
      <c r="K7" t="s">
        <v>297</v>
      </c>
      <c r="L7" s="142">
        <v>240000</v>
      </c>
      <c r="M7" t="s">
        <v>289</v>
      </c>
      <c r="N7" t="s">
        <v>292</v>
      </c>
      <c r="O7" t="s">
        <v>55</v>
      </c>
      <c r="P7"/>
      <c r="Q7" s="165" t="s">
        <v>322</v>
      </c>
      <c r="R7" s="142">
        <v>-460000</v>
      </c>
    </row>
    <row r="8" spans="1:19" ht="13.5" customHeight="1">
      <c r="A8" s="27"/>
      <c r="B8" s="27"/>
      <c r="C8" s="21"/>
      <c r="D8" s="27"/>
      <c r="E8" s="27"/>
      <c r="F8" s="30"/>
      <c r="G8" s="62" t="s">
        <v>252</v>
      </c>
      <c r="H8" s="65"/>
      <c r="I8" s="64">
        <v>25.5</v>
      </c>
      <c r="K8" t="s">
        <v>298</v>
      </c>
      <c r="L8" s="142">
        <v>80000</v>
      </c>
      <c r="M8" t="s">
        <v>289</v>
      </c>
      <c r="N8" t="s">
        <v>292</v>
      </c>
      <c r="O8" t="s">
        <v>55</v>
      </c>
      <c r="P8"/>
      <c r="Q8" s="165" t="s">
        <v>323</v>
      </c>
      <c r="R8" s="142">
        <v>-190000</v>
      </c>
    </row>
    <row r="9" spans="1:19" ht="13.5" customHeight="1">
      <c r="A9" s="27"/>
      <c r="B9" s="27"/>
      <c r="C9" s="21"/>
      <c r="D9" s="27"/>
      <c r="E9" s="27"/>
      <c r="F9" s="27"/>
      <c r="G9" s="100"/>
      <c r="H9" s="100"/>
      <c r="I9" s="101"/>
      <c r="K9" t="s">
        <v>299</v>
      </c>
      <c r="L9" s="142">
        <v>170810</v>
      </c>
      <c r="M9" t="s">
        <v>289</v>
      </c>
      <c r="N9" t="s">
        <v>292</v>
      </c>
      <c r="O9" t="s">
        <v>296</v>
      </c>
      <c r="P9"/>
      <c r="Q9" s="152"/>
    </row>
    <row r="10" spans="1:19" ht="13.5" customHeight="1">
      <c r="A10" s="27"/>
      <c r="B10" s="27"/>
      <c r="C10" s="21"/>
      <c r="D10" s="27"/>
      <c r="E10" s="27"/>
      <c r="F10" s="30"/>
      <c r="G10" s="62" t="s">
        <v>253</v>
      </c>
      <c r="H10" s="65"/>
      <c r="I10" s="64">
        <v>28</v>
      </c>
      <c r="K10"/>
      <c r="L10" s="142"/>
      <c r="M10"/>
      <c r="N10"/>
      <c r="O10"/>
      <c r="P10"/>
      <c r="Q10" s="144" t="s">
        <v>324</v>
      </c>
      <c r="R10" s="142">
        <v>-39600</v>
      </c>
      <c r="S10" s="144" t="s">
        <v>289</v>
      </c>
    </row>
    <row r="11" spans="1:19" ht="15" customHeight="1">
      <c r="K11" s="162" t="s">
        <v>322</v>
      </c>
      <c r="L11" s="142">
        <v>460000</v>
      </c>
      <c r="M11" t="s">
        <v>300</v>
      </c>
      <c r="N11"/>
      <c r="O11"/>
      <c r="P11"/>
      <c r="Q11" s="144" t="s">
        <v>325</v>
      </c>
      <c r="R11" s="142">
        <f>-40600</f>
        <v>-40600</v>
      </c>
      <c r="S11" s="144" t="s">
        <v>289</v>
      </c>
    </row>
    <row r="12" spans="1:19" ht="15" customHeight="1">
      <c r="K12" s="162" t="s">
        <v>323</v>
      </c>
      <c r="L12" s="142">
        <v>190000</v>
      </c>
      <c r="M12" t="s">
        <v>300</v>
      </c>
      <c r="N12"/>
      <c r="O12"/>
      <c r="P12"/>
      <c r="Q12" s="144" t="s">
        <v>326</v>
      </c>
      <c r="R12" s="142">
        <v>-7200</v>
      </c>
      <c r="S12" s="144" t="s">
        <v>289</v>
      </c>
    </row>
    <row r="13" spans="1:19" ht="15" customHeight="1">
      <c r="K13" t="s">
        <v>301</v>
      </c>
      <c r="L13" s="142">
        <v>75000</v>
      </c>
      <c r="M13" t="s">
        <v>300</v>
      </c>
      <c r="N13"/>
      <c r="O13"/>
      <c r="P13"/>
      <c r="R13" s="163">
        <f>SUM(R3:R12)</f>
        <v>141358.64000000001</v>
      </c>
    </row>
    <row r="14" spans="1:19" ht="15" customHeight="1">
      <c r="K14"/>
      <c r="L14" s="142"/>
      <c r="M14"/>
      <c r="N14"/>
      <c r="O14"/>
      <c r="P14"/>
    </row>
    <row r="15" spans="1:19" ht="15" customHeight="1">
      <c r="K15" t="s">
        <v>85</v>
      </c>
      <c r="L15" s="142">
        <v>347490</v>
      </c>
      <c r="M15" t="s">
        <v>302</v>
      </c>
      <c r="N15"/>
      <c r="O15" t="s">
        <v>303</v>
      </c>
      <c r="P15"/>
    </row>
    <row r="16" spans="1:19" ht="15" customHeight="1">
      <c r="K16" t="s">
        <v>304</v>
      </c>
      <c r="L16" s="142">
        <v>542750</v>
      </c>
      <c r="M16" t="s">
        <v>302</v>
      </c>
      <c r="N16" s="143">
        <v>45968</v>
      </c>
      <c r="O16" t="s">
        <v>303</v>
      </c>
      <c r="P16" t="s">
        <v>289</v>
      </c>
    </row>
    <row r="17" spans="11:16" ht="15" customHeight="1">
      <c r="K17" t="s">
        <v>305</v>
      </c>
      <c r="L17" s="142">
        <v>230000</v>
      </c>
      <c r="M17" t="s">
        <v>302</v>
      </c>
      <c r="N17" t="s">
        <v>306</v>
      </c>
      <c r="O17" t="s">
        <v>303</v>
      </c>
      <c r="P17"/>
    </row>
    <row r="18" spans="11:16" ht="15" customHeight="1">
      <c r="K18" t="s">
        <v>307</v>
      </c>
      <c r="L18" s="142">
        <v>750000</v>
      </c>
      <c r="M18" t="s">
        <v>302</v>
      </c>
      <c r="N18"/>
      <c r="O18" t="s">
        <v>303</v>
      </c>
      <c r="P18"/>
    </row>
    <row r="19" spans="11:16" ht="15" customHeight="1">
      <c r="K19" t="s">
        <v>308</v>
      </c>
      <c r="L19" s="142">
        <v>70000</v>
      </c>
      <c r="M19"/>
      <c r="N19"/>
      <c r="O19" t="s">
        <v>303</v>
      </c>
      <c r="P19"/>
    </row>
    <row r="20" spans="11:16" ht="15" customHeight="1">
      <c r="K20" t="s">
        <v>309</v>
      </c>
      <c r="L20" s="142">
        <v>500000</v>
      </c>
      <c r="M20" t="s">
        <v>302</v>
      </c>
      <c r="N20"/>
      <c r="O20" t="s">
        <v>303</v>
      </c>
      <c r="P20"/>
    </row>
    <row r="21" spans="11:16" ht="15" customHeight="1">
      <c r="K21" t="s">
        <v>310</v>
      </c>
      <c r="L21" s="142">
        <v>200000</v>
      </c>
      <c r="M21"/>
      <c r="N21"/>
      <c r="O21" t="s">
        <v>303</v>
      </c>
      <c r="P21"/>
    </row>
    <row r="22" spans="11:16" ht="15" customHeight="1">
      <c r="K22" t="s">
        <v>311</v>
      </c>
      <c r="L22" s="142">
        <v>1250000</v>
      </c>
      <c r="M22"/>
      <c r="N22"/>
      <c r="O22" t="s">
        <v>303</v>
      </c>
      <c r="P22"/>
    </row>
    <row r="23" spans="11:16" ht="15" customHeight="1">
      <c r="K23" t="s">
        <v>312</v>
      </c>
      <c r="L23" s="142">
        <v>110000</v>
      </c>
      <c r="M23" t="s">
        <v>302</v>
      </c>
      <c r="N23"/>
      <c r="O23" t="s">
        <v>303</v>
      </c>
      <c r="P23"/>
    </row>
    <row r="24" spans="11:16" ht="15" customHeight="1">
      <c r="K24" t="s">
        <v>313</v>
      </c>
      <c r="L24" s="142">
        <v>210000</v>
      </c>
      <c r="M24" t="s">
        <v>302</v>
      </c>
      <c r="N24"/>
      <c r="O24" t="s">
        <v>303</v>
      </c>
      <c r="P24"/>
    </row>
    <row r="25" spans="11:16" ht="15" customHeight="1">
      <c r="K25" t="s">
        <v>314</v>
      </c>
      <c r="L25" s="142">
        <v>250000</v>
      </c>
      <c r="M25" s="143">
        <v>45971</v>
      </c>
      <c r="N25"/>
      <c r="O25" t="s">
        <v>303</v>
      </c>
      <c r="P25"/>
    </row>
    <row r="26" spans="11:16" ht="15" customHeight="1">
      <c r="K26" t="s">
        <v>315</v>
      </c>
      <c r="L26" s="142">
        <v>648116</v>
      </c>
      <c r="M26" s="143">
        <v>45982</v>
      </c>
      <c r="N26"/>
      <c r="O26" t="s">
        <v>303</v>
      </c>
      <c r="P26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11</vt:i4>
      </vt:variant>
      <vt:variant>
        <vt:lpstr>Adlandırılmış Aralıklar</vt:lpstr>
      </vt:variant>
      <vt:variant>
        <vt:i4>1</vt:i4>
      </vt:variant>
    </vt:vector>
  </HeadingPairs>
  <TitlesOfParts>
    <vt:vector size="12" baseType="lpstr">
      <vt:lpstr>Altan</vt:lpstr>
      <vt:lpstr>Krediler</vt:lpstr>
      <vt:lpstr>Krediler (2)</vt:lpstr>
      <vt:lpstr>Çekler</vt:lpstr>
      <vt:lpstr>Extra</vt:lpstr>
      <vt:lpstr>Ödeme Tablo</vt:lpstr>
      <vt:lpstr>Özet Tablo</vt:lpstr>
      <vt:lpstr>Özet Tablo (2)</vt:lpstr>
      <vt:lpstr>Durum</vt:lpstr>
      <vt:lpstr>Genel gider Aylık</vt:lpstr>
      <vt:lpstr>Not</vt:lpstr>
      <vt:lpstr>'Ödeme 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altan terzi</cp:lastModifiedBy>
  <dcterms:created xsi:type="dcterms:W3CDTF">2025-10-13T10:33:25Z</dcterms:created>
  <dcterms:modified xsi:type="dcterms:W3CDTF">2026-04-10T15:11:32Z</dcterms:modified>
</cp:coreProperties>
</file>